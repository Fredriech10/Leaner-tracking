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RTT melkies\Merk werk 2026\MErk werk\GR10 TERM 2 EXAM\F2\Solution_Data\"/>
    </mc:Choice>
  </mc:AlternateContent>
  <xr:revisionPtr revIDLastSave="0" documentId="13_ncr:1_{9C612EB7-CD58-410A-8D58-7D8B4BFFD768}" xr6:coauthVersionLast="47" xr6:coauthVersionMax="47" xr10:uidLastSave="{00000000-0000-0000-0000-000000000000}"/>
  <bookViews>
    <workbookView xWindow="14295" yWindow="0" windowWidth="14610" windowHeight="15585" xr2:uid="{7F9D3D59-B6FE-4955-A37B-CA7924D6C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9" i="1"/>
  <c r="I8" i="1"/>
  <c r="I7" i="1"/>
  <c r="I6" i="1"/>
  <c r="I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<sst xmlns="http://schemas.openxmlformats.org/spreadsheetml/2006/main" count="239" uniqueCount="102">
  <si>
    <t>Meeting</t>
  </si>
  <si>
    <t>B02617</t>
  </si>
  <si>
    <t>B02598</t>
  </si>
  <si>
    <t>Temporary Site</t>
  </si>
  <si>
    <t>B02765</t>
  </si>
  <si>
    <t>Customer Visit</t>
  </si>
  <si>
    <t>B02682</t>
  </si>
  <si>
    <t>Meal/Entertain</t>
  </si>
  <si>
    <t>Errand/Supplies</t>
  </si>
  <si>
    <t>B02512</t>
  </si>
  <si>
    <t>B02764</t>
  </si>
  <si>
    <t>Between Offices</t>
  </si>
  <si>
    <t>Commute</t>
  </si>
  <si>
    <t>Purpose</t>
  </si>
  <si>
    <t>Kms</t>
  </si>
  <si>
    <t>Trips</t>
  </si>
  <si>
    <t>Active Vehicles</t>
  </si>
  <si>
    <t>Base number</t>
  </si>
  <si>
    <t>Uber trips recorded</t>
  </si>
  <si>
    <t>Question 4.2</t>
  </si>
  <si>
    <t>Question 4.3</t>
  </si>
  <si>
    <t>Question 4.4</t>
  </si>
  <si>
    <t>Question 4.5</t>
  </si>
  <si>
    <t>Question 4.6</t>
  </si>
  <si>
    <t>Question 4.7</t>
  </si>
  <si>
    <t>Question 4.8</t>
  </si>
  <si>
    <t>Customer1</t>
  </si>
  <si>
    <t>Customer2</t>
  </si>
  <si>
    <t>Customer3</t>
  </si>
  <si>
    <t>Customer4</t>
  </si>
  <si>
    <t>Customer5</t>
  </si>
  <si>
    <t>Customer6</t>
  </si>
  <si>
    <t>Customer7</t>
  </si>
  <si>
    <t>Customer8</t>
  </si>
  <si>
    <t>Customer9</t>
  </si>
  <si>
    <t>Customer10</t>
  </si>
  <si>
    <t>Customer11</t>
  </si>
  <si>
    <t>Customer12</t>
  </si>
  <si>
    <t>Customer13</t>
  </si>
  <si>
    <t>Customer14</t>
  </si>
  <si>
    <t>Customer15</t>
  </si>
  <si>
    <t>Customer16</t>
  </si>
  <si>
    <t>Customer17</t>
  </si>
  <si>
    <t>Customer18</t>
  </si>
  <si>
    <t>Customer19</t>
  </si>
  <si>
    <t>Customer20</t>
  </si>
  <si>
    <t>Customer21</t>
  </si>
  <si>
    <t>Customer22</t>
  </si>
  <si>
    <t>Customer23</t>
  </si>
  <si>
    <t>Customer24</t>
  </si>
  <si>
    <t>Customer25</t>
  </si>
  <si>
    <t>Customer26</t>
  </si>
  <si>
    <t>Customer27</t>
  </si>
  <si>
    <t>Customer28</t>
  </si>
  <si>
    <t>Customer29</t>
  </si>
  <si>
    <t>Customer30</t>
  </si>
  <si>
    <t>Customer31</t>
  </si>
  <si>
    <t>Customer32</t>
  </si>
  <si>
    <t>Customer33</t>
  </si>
  <si>
    <t>Customer34</t>
  </si>
  <si>
    <t>Customer35</t>
  </si>
  <si>
    <t>Customer36</t>
  </si>
  <si>
    <t>Customer37</t>
  </si>
  <si>
    <t>Customer38</t>
  </si>
  <si>
    <t>Customer39</t>
  </si>
  <si>
    <t>Customer40</t>
  </si>
  <si>
    <t>Customer41</t>
  </si>
  <si>
    <t>Customer42</t>
  </si>
  <si>
    <t>Customer43</t>
  </si>
  <si>
    <t>Customer44</t>
  </si>
  <si>
    <t>Customer45</t>
  </si>
  <si>
    <t>Customer46</t>
  </si>
  <si>
    <t>Customer47</t>
  </si>
  <si>
    <t>Customer48</t>
  </si>
  <si>
    <t>Customer49</t>
  </si>
  <si>
    <t>Customer50</t>
  </si>
  <si>
    <t>Customer51</t>
  </si>
  <si>
    <t>Customer52</t>
  </si>
  <si>
    <t>Customer53</t>
  </si>
  <si>
    <t>Customer54</t>
  </si>
  <si>
    <t>Customer55</t>
  </si>
  <si>
    <t>Customer56</t>
  </si>
  <si>
    <t>Customer57</t>
  </si>
  <si>
    <t>Customer58</t>
  </si>
  <si>
    <t>Customer59</t>
  </si>
  <si>
    <t>Customer60</t>
  </si>
  <si>
    <t>Customer61</t>
  </si>
  <si>
    <t>Customer62</t>
  </si>
  <si>
    <t>Customer63</t>
  </si>
  <si>
    <t>Customer64</t>
  </si>
  <si>
    <t>Customer65</t>
  </si>
  <si>
    <t>Customer66</t>
  </si>
  <si>
    <t>Customer67</t>
  </si>
  <si>
    <t>Customer68</t>
  </si>
  <si>
    <t>Customer69</t>
  </si>
  <si>
    <t>Customer70</t>
  </si>
  <si>
    <t>Customer71</t>
  </si>
  <si>
    <t>Customer72</t>
  </si>
  <si>
    <t>Customer73</t>
  </si>
  <si>
    <t>Customer74</t>
  </si>
  <si>
    <t>Customer75</t>
  </si>
  <si>
    <t>Customer ID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</si>
</sst>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;[Red]\-&quot;R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3" borderId="0" xfId="0" applyNumberFormat="1" applyFont="1" applyFill="1"/>
    <xf numFmtId="0" fontId="3" fillId="0" borderId="1" xfId="0" applyFont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E1AC-D151-4E16-A796-15566EBEA085}">
  <dimension ref="A1:I77"/>
  <sheetViews>
    <sheetView tabSelected="1" zoomScaleNormal="100" workbookViewId="0">
      <pane ySplit="2" topLeftCell="A3" activePane="bottomLeft" state="frozen"/>
      <selection pane="bottomLeft" activeCell="E19" sqref="E19"/>
    </sheetView>
  </sheetViews>
  <sheetFormatPr defaultRowHeight="15" x14ac:dyDescent="0.25"/>
  <cols>
    <col min="1" max="1" width="12.5703125" bestFit="1" customWidth="1"/>
    <col min="2" max="2" width="12.5703125" customWidth="1"/>
    <col min="3" max="3" width="15.28515625" bestFit="1" customWidth="1"/>
    <col min="4" max="4" width="15.85546875" customWidth="1"/>
    <col min="5" max="5" width="9.7109375" customWidth="1"/>
    <col min="8" max="8" width="14.5703125" customWidth="1"/>
    <col min="9" max="9" width="21.28515625" customWidth="1"/>
  </cols>
  <sheetData>
    <row r="1" spans="1:9" ht="45.75" customHeight="1" thickBot="1" x14ac:dyDescent="0.3">
      <c r="A1" s="6" t="e" vm="1">
        <v>#VALUE!</v>
      </c>
      <c r="B1" s="7"/>
      <c r="C1" s="8" t="s">
        <v>18</v>
      </c>
      <c r="D1" s="9"/>
      <c r="E1" s="9"/>
      <c r="F1" s="10"/>
      <c r="G1" s="1">
        <v>12.6</v>
      </c>
    </row>
    <row r="2" spans="1:9" ht="15.75" thickBot="1" x14ac:dyDescent="0.3">
      <c r="A2" s="11" t="s">
        <v>17</v>
      </c>
      <c r="B2" s="12" t="s">
        <v>101</v>
      </c>
      <c r="C2" s="12" t="s">
        <v>13</v>
      </c>
      <c r="D2" s="12" t="s">
        <v>16</v>
      </c>
      <c r="E2" s="12" t="s">
        <v>15</v>
      </c>
      <c r="F2" s="13" t="s">
        <v>14</v>
      </c>
    </row>
    <row r="3" spans="1:9" x14ac:dyDescent="0.25">
      <c r="A3" t="s">
        <v>9</v>
      </c>
      <c r="B3" t="s">
        <v>26</v>
      </c>
      <c r="C3" t="s">
        <v>5</v>
      </c>
      <c r="D3">
        <v>190</v>
      </c>
      <c r="E3">
        <v>1132</v>
      </c>
      <c r="F3">
        <v>39408.1</v>
      </c>
      <c r="H3" s="2" t="s">
        <v>19</v>
      </c>
      <c r="I3" s="4">
        <f>F3*$G$1</f>
        <v>496542.05999999994</v>
      </c>
    </row>
    <row r="4" spans="1:9" x14ac:dyDescent="0.25">
      <c r="A4" t="s">
        <v>4</v>
      </c>
      <c r="B4" t="s">
        <v>27</v>
      </c>
      <c r="C4" t="s">
        <v>0</v>
      </c>
      <c r="D4">
        <v>225</v>
      </c>
      <c r="E4">
        <v>1765</v>
      </c>
      <c r="F4">
        <v>25527</v>
      </c>
      <c r="H4" s="2" t="s">
        <v>20</v>
      </c>
      <c r="I4" s="3">
        <f>MIN(E3:E77)</f>
        <v>791</v>
      </c>
    </row>
    <row r="5" spans="1:9" x14ac:dyDescent="0.25">
      <c r="A5" t="s">
        <v>10</v>
      </c>
      <c r="B5" t="s">
        <v>28</v>
      </c>
      <c r="C5" t="s">
        <v>12</v>
      </c>
      <c r="D5">
        <v>3427</v>
      </c>
      <c r="E5">
        <v>29421</v>
      </c>
      <c r="F5">
        <v>24879.3</v>
      </c>
      <c r="H5" s="2" t="s">
        <v>21</v>
      </c>
      <c r="I5" s="3">
        <f>MAX(D3:D77)-MIN(D3:D77)</f>
        <v>3684</v>
      </c>
    </row>
    <row r="6" spans="1:9" x14ac:dyDescent="0.25">
      <c r="A6" t="s">
        <v>6</v>
      </c>
      <c r="B6" t="s">
        <v>29</v>
      </c>
      <c r="C6" t="s">
        <v>5</v>
      </c>
      <c r="D6">
        <v>945</v>
      </c>
      <c r="E6">
        <v>7679</v>
      </c>
      <c r="F6">
        <v>24841.200000000001</v>
      </c>
      <c r="H6" s="2" t="s">
        <v>22</v>
      </c>
      <c r="I6" s="3">
        <f>AVERAGE(F3:F77)</f>
        <v>8538.9719999999998</v>
      </c>
    </row>
    <row r="7" spans="1:9" x14ac:dyDescent="0.25">
      <c r="A7" t="s">
        <v>1</v>
      </c>
      <c r="B7" t="s">
        <v>30</v>
      </c>
      <c r="C7" t="s">
        <v>0</v>
      </c>
      <c r="D7">
        <v>1228</v>
      </c>
      <c r="E7">
        <v>9537</v>
      </c>
      <c r="F7">
        <v>24803.100000000002</v>
      </c>
      <c r="H7" s="2" t="s">
        <v>23</v>
      </c>
      <c r="I7" s="3">
        <f>E3/F3</f>
        <v>2.8725059061461986E-2</v>
      </c>
    </row>
    <row r="8" spans="1:9" x14ac:dyDescent="0.25">
      <c r="A8" t="s">
        <v>2</v>
      </c>
      <c r="B8" t="s">
        <v>31</v>
      </c>
      <c r="C8" t="s">
        <v>5</v>
      </c>
      <c r="D8">
        <v>870</v>
      </c>
      <c r="E8">
        <v>6903</v>
      </c>
      <c r="F8">
        <v>22885.399999999998</v>
      </c>
      <c r="H8" s="2" t="s">
        <v>24</v>
      </c>
      <c r="I8" s="3">
        <f>COUNT(D3:D77)</f>
        <v>75</v>
      </c>
    </row>
    <row r="9" spans="1:9" x14ac:dyDescent="0.25">
      <c r="A9" t="s">
        <v>2</v>
      </c>
      <c r="B9" t="s">
        <v>32</v>
      </c>
      <c r="C9" t="s">
        <v>0</v>
      </c>
      <c r="D9">
        <v>785</v>
      </c>
      <c r="E9">
        <v>4768</v>
      </c>
      <c r="F9">
        <v>22123.399999999998</v>
      </c>
      <c r="H9" s="2" t="s">
        <v>25</v>
      </c>
      <c r="I9" s="3">
        <f>AVERAGE(D3:D77)</f>
        <v>1159.3466666666666</v>
      </c>
    </row>
    <row r="10" spans="1:9" x14ac:dyDescent="0.25">
      <c r="A10" t="s">
        <v>1</v>
      </c>
      <c r="B10" t="s">
        <v>33</v>
      </c>
      <c r="C10" t="s">
        <v>5</v>
      </c>
      <c r="D10">
        <v>1137</v>
      </c>
      <c r="E10">
        <v>7065</v>
      </c>
      <c r="F10">
        <v>20231.100000000002</v>
      </c>
    </row>
    <row r="11" spans="1:9" x14ac:dyDescent="0.25">
      <c r="A11" t="s">
        <v>9</v>
      </c>
      <c r="B11" t="s">
        <v>34</v>
      </c>
      <c r="C11" t="s">
        <v>0</v>
      </c>
      <c r="D11">
        <v>175</v>
      </c>
      <c r="E11">
        <v>875</v>
      </c>
      <c r="F11">
        <v>19926.3</v>
      </c>
    </row>
    <row r="12" spans="1:9" x14ac:dyDescent="0.25">
      <c r="A12" t="s">
        <v>6</v>
      </c>
      <c r="B12" t="s">
        <v>35</v>
      </c>
      <c r="C12" t="s">
        <v>0</v>
      </c>
      <c r="D12">
        <v>890</v>
      </c>
      <c r="E12">
        <v>5506</v>
      </c>
      <c r="F12">
        <v>18288</v>
      </c>
    </row>
    <row r="13" spans="1:9" x14ac:dyDescent="0.25">
      <c r="A13" t="s">
        <v>4</v>
      </c>
      <c r="B13" t="s">
        <v>36</v>
      </c>
      <c r="C13" t="s">
        <v>0</v>
      </c>
      <c r="D13">
        <v>196</v>
      </c>
      <c r="E13">
        <v>1001</v>
      </c>
      <c r="F13">
        <v>18288</v>
      </c>
    </row>
    <row r="14" spans="1:9" x14ac:dyDescent="0.25">
      <c r="A14" t="s">
        <v>10</v>
      </c>
      <c r="B14" t="s">
        <v>37</v>
      </c>
      <c r="C14" t="s">
        <v>0</v>
      </c>
      <c r="D14">
        <v>3147</v>
      </c>
      <c r="E14">
        <v>19974</v>
      </c>
      <c r="F14">
        <v>17272</v>
      </c>
    </row>
    <row r="15" spans="1:9" x14ac:dyDescent="0.25">
      <c r="A15" t="s">
        <v>4</v>
      </c>
      <c r="B15" t="s">
        <v>38</v>
      </c>
      <c r="C15" t="s">
        <v>5</v>
      </c>
      <c r="D15">
        <v>201</v>
      </c>
      <c r="E15">
        <v>1526</v>
      </c>
      <c r="F15">
        <v>16967.2</v>
      </c>
    </row>
    <row r="16" spans="1:9" x14ac:dyDescent="0.25">
      <c r="A16" t="s">
        <v>1</v>
      </c>
      <c r="B16" t="s">
        <v>39</v>
      </c>
      <c r="C16" t="s">
        <v>5</v>
      </c>
      <c r="D16">
        <v>1188</v>
      </c>
      <c r="E16">
        <v>10664</v>
      </c>
      <c r="F16">
        <v>14300.199999999999</v>
      </c>
    </row>
    <row r="17" spans="1:6" x14ac:dyDescent="0.25">
      <c r="A17" t="s">
        <v>2</v>
      </c>
      <c r="B17" t="s">
        <v>40</v>
      </c>
      <c r="C17" t="s">
        <v>5</v>
      </c>
      <c r="D17">
        <v>818</v>
      </c>
      <c r="E17">
        <v>7432</v>
      </c>
      <c r="F17">
        <v>13589</v>
      </c>
    </row>
    <row r="18" spans="1:6" x14ac:dyDescent="0.25">
      <c r="A18" t="s">
        <v>6</v>
      </c>
      <c r="B18" t="s">
        <v>41</v>
      </c>
      <c r="C18" t="s">
        <v>5</v>
      </c>
      <c r="D18">
        <v>915</v>
      </c>
      <c r="E18">
        <v>8010</v>
      </c>
      <c r="F18">
        <v>13081</v>
      </c>
    </row>
    <row r="19" spans="1:6" x14ac:dyDescent="0.25">
      <c r="A19" t="s">
        <v>9</v>
      </c>
      <c r="B19" t="s">
        <v>42</v>
      </c>
      <c r="C19" t="s">
        <v>3</v>
      </c>
      <c r="D19">
        <v>173</v>
      </c>
      <c r="E19">
        <v>1088</v>
      </c>
      <c r="F19">
        <v>12217.4</v>
      </c>
    </row>
    <row r="20" spans="1:6" x14ac:dyDescent="0.25">
      <c r="A20" t="s">
        <v>10</v>
      </c>
      <c r="B20" t="s">
        <v>43</v>
      </c>
      <c r="C20" t="s">
        <v>5</v>
      </c>
      <c r="D20">
        <v>3215</v>
      </c>
      <c r="E20">
        <v>29729</v>
      </c>
      <c r="F20">
        <v>11658.6</v>
      </c>
    </row>
    <row r="21" spans="1:6" x14ac:dyDescent="0.25">
      <c r="A21" t="s">
        <v>9</v>
      </c>
      <c r="B21" t="s">
        <v>44</v>
      </c>
      <c r="C21" t="s">
        <v>5</v>
      </c>
      <c r="D21">
        <v>147</v>
      </c>
      <c r="E21">
        <v>791</v>
      </c>
      <c r="F21">
        <v>10998.199999999999</v>
      </c>
    </row>
    <row r="22" spans="1:6" x14ac:dyDescent="0.25">
      <c r="A22" t="s">
        <v>6</v>
      </c>
      <c r="B22" t="s">
        <v>45</v>
      </c>
      <c r="C22" t="s">
        <v>5</v>
      </c>
      <c r="D22">
        <v>812</v>
      </c>
      <c r="E22">
        <v>5621</v>
      </c>
      <c r="F22">
        <v>10223.5</v>
      </c>
    </row>
    <row r="23" spans="1:6" x14ac:dyDescent="0.25">
      <c r="A23" t="s">
        <v>2</v>
      </c>
      <c r="B23" t="s">
        <v>46</v>
      </c>
      <c r="C23" t="s">
        <v>5</v>
      </c>
      <c r="D23">
        <v>746</v>
      </c>
      <c r="E23">
        <v>5223</v>
      </c>
      <c r="F23">
        <v>9817.1</v>
      </c>
    </row>
    <row r="24" spans="1:6" x14ac:dyDescent="0.25">
      <c r="A24" t="s">
        <v>4</v>
      </c>
      <c r="B24" t="s">
        <v>47</v>
      </c>
      <c r="C24" t="s">
        <v>5</v>
      </c>
      <c r="D24">
        <v>183</v>
      </c>
      <c r="E24">
        <v>993</v>
      </c>
      <c r="F24">
        <v>9613.9</v>
      </c>
    </row>
    <row r="25" spans="1:6" x14ac:dyDescent="0.25">
      <c r="A25" t="s">
        <v>1</v>
      </c>
      <c r="B25" t="s">
        <v>48</v>
      </c>
      <c r="C25" t="s">
        <v>0</v>
      </c>
      <c r="D25">
        <v>1088</v>
      </c>
      <c r="E25">
        <v>7729</v>
      </c>
      <c r="F25">
        <v>8775.6999999999989</v>
      </c>
    </row>
    <row r="26" spans="1:6" x14ac:dyDescent="0.25">
      <c r="A26" t="s">
        <v>10</v>
      </c>
      <c r="B26" t="s">
        <v>49</v>
      </c>
      <c r="C26" t="s">
        <v>5</v>
      </c>
      <c r="D26">
        <v>2862</v>
      </c>
      <c r="E26">
        <v>20441</v>
      </c>
      <c r="F26">
        <v>8686.8000000000011</v>
      </c>
    </row>
    <row r="27" spans="1:6" x14ac:dyDescent="0.25">
      <c r="A27" t="s">
        <v>9</v>
      </c>
      <c r="B27" t="s">
        <v>50</v>
      </c>
      <c r="C27" s="5" t="s">
        <v>11</v>
      </c>
      <c r="D27">
        <v>194</v>
      </c>
      <c r="E27">
        <v>984</v>
      </c>
      <c r="F27">
        <v>8089.9000000000005</v>
      </c>
    </row>
    <row r="28" spans="1:6" x14ac:dyDescent="0.25">
      <c r="A28" t="s">
        <v>6</v>
      </c>
      <c r="B28" t="s">
        <v>51</v>
      </c>
      <c r="C28" t="s">
        <v>5</v>
      </c>
      <c r="D28">
        <v>951</v>
      </c>
      <c r="E28">
        <v>6012</v>
      </c>
      <c r="F28">
        <v>7239</v>
      </c>
    </row>
    <row r="29" spans="1:6" x14ac:dyDescent="0.25">
      <c r="A29" t="s">
        <v>1</v>
      </c>
      <c r="B29" t="s">
        <v>52</v>
      </c>
      <c r="C29" t="s">
        <v>7</v>
      </c>
      <c r="D29">
        <v>1218</v>
      </c>
      <c r="E29">
        <v>7899</v>
      </c>
      <c r="F29">
        <v>6400.8</v>
      </c>
    </row>
    <row r="30" spans="1:6" x14ac:dyDescent="0.25">
      <c r="A30" t="s">
        <v>10</v>
      </c>
      <c r="B30" t="s">
        <v>53</v>
      </c>
      <c r="C30" t="s">
        <v>5</v>
      </c>
      <c r="D30">
        <v>3387</v>
      </c>
      <c r="E30">
        <v>20926</v>
      </c>
      <c r="F30">
        <v>6121.4000000000005</v>
      </c>
    </row>
    <row r="31" spans="1:6" x14ac:dyDescent="0.25">
      <c r="A31" t="s">
        <v>2</v>
      </c>
      <c r="B31" t="s">
        <v>54</v>
      </c>
      <c r="C31" t="s">
        <v>5</v>
      </c>
      <c r="D31">
        <v>907</v>
      </c>
      <c r="E31">
        <v>5798</v>
      </c>
      <c r="F31">
        <v>6057.9000000000005</v>
      </c>
    </row>
    <row r="32" spans="1:6" x14ac:dyDescent="0.25">
      <c r="A32" t="s">
        <v>4</v>
      </c>
      <c r="B32" t="s">
        <v>55</v>
      </c>
      <c r="C32" t="s">
        <v>0</v>
      </c>
      <c r="D32">
        <v>227</v>
      </c>
      <c r="E32">
        <v>1133</v>
      </c>
      <c r="F32">
        <v>5956.3</v>
      </c>
    </row>
    <row r="33" spans="1:6" x14ac:dyDescent="0.25">
      <c r="A33" t="s">
        <v>10</v>
      </c>
      <c r="B33" t="s">
        <v>56</v>
      </c>
      <c r="C33" t="s">
        <v>0</v>
      </c>
      <c r="D33">
        <v>3473</v>
      </c>
      <c r="E33">
        <v>25301</v>
      </c>
      <c r="F33">
        <v>5829.3</v>
      </c>
    </row>
    <row r="34" spans="1:6" x14ac:dyDescent="0.25">
      <c r="A34" t="s">
        <v>6</v>
      </c>
      <c r="B34" t="s">
        <v>57</v>
      </c>
      <c r="C34" t="s">
        <v>7</v>
      </c>
      <c r="D34">
        <v>1022</v>
      </c>
      <c r="E34">
        <v>7491</v>
      </c>
      <c r="F34">
        <v>5740.4000000000005</v>
      </c>
    </row>
    <row r="35" spans="1:6" x14ac:dyDescent="0.25">
      <c r="A35" t="s">
        <v>1</v>
      </c>
      <c r="B35" t="s">
        <v>58</v>
      </c>
      <c r="C35" t="s">
        <v>3</v>
      </c>
      <c r="D35">
        <v>1336</v>
      </c>
      <c r="E35">
        <v>10128</v>
      </c>
      <c r="F35">
        <v>5664.2</v>
      </c>
    </row>
    <row r="36" spans="1:6" x14ac:dyDescent="0.25">
      <c r="A36" t="s">
        <v>4</v>
      </c>
      <c r="B36" t="s">
        <v>59</v>
      </c>
      <c r="C36" t="s">
        <v>7</v>
      </c>
      <c r="D36">
        <v>234</v>
      </c>
      <c r="E36">
        <v>1376</v>
      </c>
      <c r="F36">
        <v>5664.2</v>
      </c>
    </row>
    <row r="37" spans="1:6" x14ac:dyDescent="0.25">
      <c r="A37" t="s">
        <v>9</v>
      </c>
      <c r="B37" t="s">
        <v>60</v>
      </c>
      <c r="C37" t="s">
        <v>0</v>
      </c>
      <c r="D37">
        <v>218</v>
      </c>
      <c r="E37">
        <v>1314</v>
      </c>
      <c r="F37">
        <v>5575.3</v>
      </c>
    </row>
    <row r="38" spans="1:6" x14ac:dyDescent="0.25">
      <c r="A38" t="s">
        <v>2</v>
      </c>
      <c r="B38" t="s">
        <v>61</v>
      </c>
      <c r="C38" t="s">
        <v>3</v>
      </c>
      <c r="D38">
        <v>933</v>
      </c>
      <c r="E38">
        <v>6816</v>
      </c>
      <c r="F38">
        <v>5549.9000000000005</v>
      </c>
    </row>
    <row r="39" spans="1:6" x14ac:dyDescent="0.25">
      <c r="A39" t="s">
        <v>1</v>
      </c>
      <c r="B39" t="s">
        <v>62</v>
      </c>
      <c r="C39" t="s">
        <v>5</v>
      </c>
      <c r="D39">
        <v>1363</v>
      </c>
      <c r="E39">
        <v>11528</v>
      </c>
      <c r="F39">
        <v>5537.2</v>
      </c>
    </row>
    <row r="40" spans="1:6" x14ac:dyDescent="0.25">
      <c r="A40" t="s">
        <v>6</v>
      </c>
      <c r="B40" t="s">
        <v>63</v>
      </c>
      <c r="C40" t="s">
        <v>0</v>
      </c>
      <c r="D40">
        <v>1039</v>
      </c>
      <c r="E40">
        <v>9078</v>
      </c>
      <c r="F40">
        <v>5321.3</v>
      </c>
    </row>
    <row r="41" spans="1:6" x14ac:dyDescent="0.25">
      <c r="A41" t="s">
        <v>10</v>
      </c>
      <c r="B41" t="s">
        <v>64</v>
      </c>
      <c r="C41" t="s">
        <v>0</v>
      </c>
      <c r="D41">
        <v>3603</v>
      </c>
      <c r="E41">
        <v>29949</v>
      </c>
      <c r="F41">
        <v>5168.9000000000005</v>
      </c>
    </row>
    <row r="42" spans="1:6" x14ac:dyDescent="0.25">
      <c r="A42" t="s">
        <v>4</v>
      </c>
      <c r="B42" t="s">
        <v>65</v>
      </c>
      <c r="C42" t="s">
        <v>7</v>
      </c>
      <c r="D42">
        <v>248</v>
      </c>
      <c r="E42">
        <v>1704</v>
      </c>
      <c r="F42">
        <v>5105.4000000000005</v>
      </c>
    </row>
    <row r="43" spans="1:6" x14ac:dyDescent="0.25">
      <c r="A43" t="s">
        <v>9</v>
      </c>
      <c r="B43" t="s">
        <v>66</v>
      </c>
      <c r="C43" t="s">
        <v>3</v>
      </c>
      <c r="D43">
        <v>217</v>
      </c>
      <c r="E43">
        <v>1446</v>
      </c>
      <c r="F43">
        <v>4978.4000000000005</v>
      </c>
    </row>
    <row r="44" spans="1:6" x14ac:dyDescent="0.25">
      <c r="A44" t="s">
        <v>2</v>
      </c>
      <c r="B44" t="s">
        <v>67</v>
      </c>
      <c r="C44" t="s">
        <v>0</v>
      </c>
      <c r="D44">
        <v>974</v>
      </c>
      <c r="E44">
        <v>8397</v>
      </c>
      <c r="F44">
        <v>4787.9000000000005</v>
      </c>
    </row>
    <row r="45" spans="1:6" x14ac:dyDescent="0.25">
      <c r="A45" t="s">
        <v>4</v>
      </c>
      <c r="B45" t="s">
        <v>68</v>
      </c>
      <c r="C45" t="s">
        <v>8</v>
      </c>
      <c r="D45">
        <v>262</v>
      </c>
      <c r="E45">
        <v>1911</v>
      </c>
      <c r="F45">
        <v>4648.2</v>
      </c>
    </row>
    <row r="46" spans="1:6" x14ac:dyDescent="0.25">
      <c r="A46" t="s">
        <v>2</v>
      </c>
      <c r="B46" t="s">
        <v>69</v>
      </c>
      <c r="C46" t="s">
        <v>8</v>
      </c>
      <c r="D46">
        <v>1070</v>
      </c>
      <c r="E46">
        <v>10050</v>
      </c>
      <c r="F46">
        <v>4635.5</v>
      </c>
    </row>
    <row r="47" spans="1:6" x14ac:dyDescent="0.25">
      <c r="A47" t="s">
        <v>9</v>
      </c>
      <c r="B47" t="s">
        <v>70</v>
      </c>
      <c r="C47" t="s">
        <v>0</v>
      </c>
      <c r="D47">
        <v>238</v>
      </c>
      <c r="E47">
        <v>1772</v>
      </c>
      <c r="F47">
        <v>4457.7</v>
      </c>
    </row>
    <row r="48" spans="1:6" x14ac:dyDescent="0.25">
      <c r="A48" t="s">
        <v>6</v>
      </c>
      <c r="B48" t="s">
        <v>71</v>
      </c>
      <c r="C48" t="s">
        <v>0</v>
      </c>
      <c r="D48">
        <v>1135</v>
      </c>
      <c r="E48">
        <v>10416</v>
      </c>
      <c r="F48">
        <v>4445</v>
      </c>
    </row>
    <row r="49" spans="1:6" x14ac:dyDescent="0.25">
      <c r="A49" t="s">
        <v>10</v>
      </c>
      <c r="B49" t="s">
        <v>72</v>
      </c>
      <c r="C49" t="s">
        <v>0</v>
      </c>
      <c r="D49">
        <v>3831</v>
      </c>
      <c r="E49">
        <v>33802</v>
      </c>
      <c r="F49">
        <v>4216.4000000000005</v>
      </c>
    </row>
    <row r="50" spans="1:6" x14ac:dyDescent="0.25">
      <c r="A50" t="s">
        <v>1</v>
      </c>
      <c r="B50" t="s">
        <v>73</v>
      </c>
      <c r="C50" t="s">
        <v>5</v>
      </c>
      <c r="D50">
        <v>1463</v>
      </c>
      <c r="E50">
        <v>13462</v>
      </c>
      <c r="F50">
        <v>4165.5999999999995</v>
      </c>
    </row>
    <row r="51" spans="1:6" x14ac:dyDescent="0.25">
      <c r="A51" t="s">
        <v>1</v>
      </c>
      <c r="B51" t="s">
        <v>74</v>
      </c>
      <c r="C51" t="s">
        <v>7</v>
      </c>
      <c r="D51">
        <v>1455</v>
      </c>
      <c r="E51">
        <v>13165</v>
      </c>
      <c r="F51">
        <v>4102.0999999999995</v>
      </c>
    </row>
    <row r="52" spans="1:6" x14ac:dyDescent="0.25">
      <c r="A52" t="s">
        <v>9</v>
      </c>
      <c r="B52" t="s">
        <v>75</v>
      </c>
      <c r="C52" t="s">
        <v>0</v>
      </c>
      <c r="D52">
        <v>224</v>
      </c>
      <c r="E52">
        <v>1560</v>
      </c>
      <c r="F52">
        <v>4051.2999999999997</v>
      </c>
    </row>
    <row r="53" spans="1:6" x14ac:dyDescent="0.25">
      <c r="A53" t="s">
        <v>10</v>
      </c>
      <c r="B53" t="s">
        <v>76</v>
      </c>
      <c r="C53" t="s">
        <v>0</v>
      </c>
      <c r="D53">
        <v>3820</v>
      </c>
      <c r="E53">
        <v>33517</v>
      </c>
      <c r="F53">
        <v>4025.9</v>
      </c>
    </row>
    <row r="54" spans="1:6" x14ac:dyDescent="0.25">
      <c r="A54" t="s">
        <v>6</v>
      </c>
      <c r="B54" t="s">
        <v>77</v>
      </c>
      <c r="C54" t="s">
        <v>0</v>
      </c>
      <c r="D54">
        <v>1140</v>
      </c>
      <c r="E54">
        <v>10477</v>
      </c>
      <c r="F54">
        <v>3835.4</v>
      </c>
    </row>
    <row r="55" spans="1:6" x14ac:dyDescent="0.25">
      <c r="A55" t="s">
        <v>2</v>
      </c>
      <c r="B55" t="s">
        <v>78</v>
      </c>
      <c r="C55" t="s">
        <v>5</v>
      </c>
      <c r="D55">
        <v>1070</v>
      </c>
      <c r="E55">
        <v>9538</v>
      </c>
      <c r="F55">
        <v>3810</v>
      </c>
    </row>
    <row r="56" spans="1:6" x14ac:dyDescent="0.25">
      <c r="A56" t="s">
        <v>4</v>
      </c>
      <c r="B56" t="s">
        <v>79</v>
      </c>
      <c r="C56" t="s">
        <v>0</v>
      </c>
      <c r="D56">
        <v>280</v>
      </c>
      <c r="E56">
        <v>2039</v>
      </c>
      <c r="F56">
        <v>3784.6</v>
      </c>
    </row>
    <row r="57" spans="1:6" x14ac:dyDescent="0.25">
      <c r="A57" t="s">
        <v>6</v>
      </c>
      <c r="B57" t="s">
        <v>80</v>
      </c>
      <c r="C57" t="s">
        <v>7</v>
      </c>
      <c r="D57">
        <v>1057</v>
      </c>
      <c r="E57">
        <v>11629</v>
      </c>
      <c r="F57">
        <v>3657.6</v>
      </c>
    </row>
    <row r="58" spans="1:6" x14ac:dyDescent="0.25">
      <c r="A58" t="s">
        <v>1</v>
      </c>
      <c r="B58" t="s">
        <v>81</v>
      </c>
      <c r="C58" t="s">
        <v>0</v>
      </c>
      <c r="D58">
        <v>1331</v>
      </c>
      <c r="E58">
        <v>13856</v>
      </c>
      <c r="F58">
        <v>3632.2000000000003</v>
      </c>
    </row>
    <row r="59" spans="1:6" x14ac:dyDescent="0.25">
      <c r="A59" t="s">
        <v>2</v>
      </c>
      <c r="B59" t="s">
        <v>82</v>
      </c>
      <c r="C59" t="s">
        <v>7</v>
      </c>
      <c r="D59">
        <v>949</v>
      </c>
      <c r="E59">
        <v>10287</v>
      </c>
      <c r="F59">
        <v>3581.4</v>
      </c>
    </row>
    <row r="60" spans="1:6" x14ac:dyDescent="0.25">
      <c r="A60" t="s">
        <v>9</v>
      </c>
      <c r="B60" t="s">
        <v>83</v>
      </c>
      <c r="C60" t="s">
        <v>5</v>
      </c>
      <c r="D60">
        <v>206</v>
      </c>
      <c r="E60">
        <v>1646</v>
      </c>
      <c r="F60">
        <v>3568.7000000000003</v>
      </c>
    </row>
    <row r="61" spans="1:6" x14ac:dyDescent="0.25">
      <c r="A61" t="s">
        <v>10</v>
      </c>
      <c r="B61" t="s">
        <v>84</v>
      </c>
      <c r="C61" t="s">
        <v>7</v>
      </c>
      <c r="D61">
        <v>3558</v>
      </c>
      <c r="E61">
        <v>38864</v>
      </c>
      <c r="F61">
        <v>3568.7000000000003</v>
      </c>
    </row>
    <row r="62" spans="1:6" x14ac:dyDescent="0.25">
      <c r="A62" t="s">
        <v>4</v>
      </c>
      <c r="B62" t="s">
        <v>85</v>
      </c>
      <c r="C62" t="s">
        <v>0</v>
      </c>
      <c r="D62">
        <v>245</v>
      </c>
      <c r="E62">
        <v>2202</v>
      </c>
      <c r="F62">
        <v>3454.4</v>
      </c>
    </row>
    <row r="63" spans="1:6" x14ac:dyDescent="0.25">
      <c r="A63" t="s">
        <v>4</v>
      </c>
      <c r="B63" t="s">
        <v>86</v>
      </c>
      <c r="C63" t="s">
        <v>5</v>
      </c>
      <c r="D63">
        <v>220</v>
      </c>
      <c r="E63">
        <v>1672</v>
      </c>
      <c r="F63">
        <v>3289.2999999999997</v>
      </c>
    </row>
    <row r="64" spans="1:6" x14ac:dyDescent="0.25">
      <c r="A64" t="s">
        <v>2</v>
      </c>
      <c r="B64" t="s">
        <v>87</v>
      </c>
      <c r="C64" t="s">
        <v>0</v>
      </c>
      <c r="D64">
        <v>832</v>
      </c>
      <c r="E64">
        <v>7176</v>
      </c>
      <c r="F64">
        <v>3263.9</v>
      </c>
    </row>
    <row r="65" spans="1:6" x14ac:dyDescent="0.25">
      <c r="A65" t="s">
        <v>6</v>
      </c>
      <c r="B65" t="s">
        <v>88</v>
      </c>
      <c r="C65" t="s">
        <v>0</v>
      </c>
      <c r="D65">
        <v>943</v>
      </c>
      <c r="E65">
        <v>8461</v>
      </c>
      <c r="F65">
        <v>3251.2000000000003</v>
      </c>
    </row>
    <row r="66" spans="1:6" x14ac:dyDescent="0.25">
      <c r="A66" t="s">
        <v>10</v>
      </c>
      <c r="B66" t="s">
        <v>89</v>
      </c>
      <c r="C66" t="s">
        <v>3</v>
      </c>
      <c r="D66">
        <v>3186</v>
      </c>
      <c r="E66">
        <v>27681</v>
      </c>
      <c r="F66">
        <v>3251.2000000000003</v>
      </c>
    </row>
    <row r="67" spans="1:6" x14ac:dyDescent="0.25">
      <c r="A67" t="s">
        <v>1</v>
      </c>
      <c r="B67" t="s">
        <v>90</v>
      </c>
      <c r="C67" t="s">
        <v>0</v>
      </c>
      <c r="D67">
        <v>1228</v>
      </c>
      <c r="E67">
        <v>10932</v>
      </c>
      <c r="F67">
        <v>3200.4</v>
      </c>
    </row>
    <row r="68" spans="1:6" x14ac:dyDescent="0.25">
      <c r="A68" t="s">
        <v>9</v>
      </c>
      <c r="B68" t="s">
        <v>91</v>
      </c>
      <c r="C68" t="s">
        <v>0</v>
      </c>
      <c r="D68">
        <v>162</v>
      </c>
      <c r="E68">
        <v>1104</v>
      </c>
      <c r="F68">
        <v>3022.6</v>
      </c>
    </row>
    <row r="69" spans="1:6" x14ac:dyDescent="0.25">
      <c r="A69" t="s">
        <v>10</v>
      </c>
      <c r="B69" t="s">
        <v>92</v>
      </c>
      <c r="C69" t="s">
        <v>5</v>
      </c>
      <c r="D69">
        <v>3499</v>
      </c>
      <c r="E69">
        <v>26852</v>
      </c>
      <c r="F69">
        <v>2984.5</v>
      </c>
    </row>
    <row r="70" spans="1:6" x14ac:dyDescent="0.25">
      <c r="A70" t="s">
        <v>4</v>
      </c>
      <c r="B70" t="s">
        <v>93</v>
      </c>
      <c r="C70" t="s">
        <v>0</v>
      </c>
      <c r="D70">
        <v>279</v>
      </c>
      <c r="E70">
        <v>1711</v>
      </c>
      <c r="F70">
        <v>2984.5</v>
      </c>
    </row>
    <row r="71" spans="1:6" x14ac:dyDescent="0.25">
      <c r="A71" t="s">
        <v>9</v>
      </c>
      <c r="B71" t="s">
        <v>94</v>
      </c>
      <c r="C71" t="s">
        <v>8</v>
      </c>
      <c r="D71">
        <v>217</v>
      </c>
      <c r="E71">
        <v>1399</v>
      </c>
      <c r="F71">
        <v>2959.1</v>
      </c>
    </row>
    <row r="72" spans="1:6" x14ac:dyDescent="0.25">
      <c r="A72" t="s">
        <v>2</v>
      </c>
      <c r="B72" t="s">
        <v>95</v>
      </c>
      <c r="C72" t="s">
        <v>7</v>
      </c>
      <c r="D72">
        <v>964</v>
      </c>
      <c r="E72">
        <v>7915</v>
      </c>
      <c r="F72">
        <v>2946.4</v>
      </c>
    </row>
    <row r="73" spans="1:6" x14ac:dyDescent="0.25">
      <c r="A73" t="s">
        <v>6</v>
      </c>
      <c r="B73" t="s">
        <v>96</v>
      </c>
      <c r="C73" t="s">
        <v>5</v>
      </c>
      <c r="D73">
        <v>1082</v>
      </c>
      <c r="E73">
        <v>9107</v>
      </c>
      <c r="F73">
        <v>2933.7000000000003</v>
      </c>
    </row>
    <row r="74" spans="1:6" x14ac:dyDescent="0.25">
      <c r="A74" t="s">
        <v>1</v>
      </c>
      <c r="B74" t="s">
        <v>97</v>
      </c>
      <c r="C74" t="s">
        <v>0</v>
      </c>
      <c r="D74">
        <v>1323</v>
      </c>
      <c r="E74">
        <v>10662</v>
      </c>
      <c r="F74">
        <v>2921</v>
      </c>
    </row>
    <row r="75" spans="1:6" x14ac:dyDescent="0.25">
      <c r="A75" t="s">
        <v>4</v>
      </c>
      <c r="B75" t="s">
        <v>98</v>
      </c>
      <c r="C75" t="s">
        <v>3</v>
      </c>
      <c r="D75">
        <v>258</v>
      </c>
      <c r="E75">
        <v>1697</v>
      </c>
      <c r="F75">
        <v>2882.9</v>
      </c>
    </row>
    <row r="76" spans="1:6" x14ac:dyDescent="0.25">
      <c r="A76" t="s">
        <v>2</v>
      </c>
      <c r="B76" t="s">
        <v>99</v>
      </c>
      <c r="C76" t="s">
        <v>0</v>
      </c>
      <c r="D76">
        <v>975</v>
      </c>
      <c r="E76">
        <v>8713</v>
      </c>
      <c r="F76">
        <v>2857.5</v>
      </c>
    </row>
    <row r="77" spans="1:6" x14ac:dyDescent="0.25">
      <c r="A77" t="s">
        <v>1</v>
      </c>
      <c r="B77" t="s">
        <v>100</v>
      </c>
      <c r="C77" t="s">
        <v>0</v>
      </c>
      <c r="D77">
        <v>1342</v>
      </c>
      <c r="E77">
        <v>11825</v>
      </c>
      <c r="F77">
        <v>2844.7999999999997</v>
      </c>
    </row>
  </sheetData>
  <mergeCells count="2">
    <mergeCell ref="A1:B1"/>
    <mergeCell ref="C1:F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Fredriech Pretorius</cp:lastModifiedBy>
  <dcterms:created xsi:type="dcterms:W3CDTF">2026-03-27T08:34:08Z</dcterms:created>
  <dcterms:modified xsi:type="dcterms:W3CDTF">2026-05-29T15:50:46Z</dcterms:modified>
</cp:coreProperties>
</file>