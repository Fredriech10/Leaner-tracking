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ublic\Documents\Exam term 2\11 Prac\Data\Exam_Data\"/>
    </mc:Choice>
  </mc:AlternateContent>
  <xr:revisionPtr revIDLastSave="0" documentId="13_ncr:1_{DB1153D5-F212-4602-99E9-B7E9D7000FB0}" xr6:coauthVersionLast="36" xr6:coauthVersionMax="47" xr10:uidLastSave="{00000000-0000-0000-0000-000000000000}"/>
  <bookViews>
    <workbookView xWindow="28680" yWindow="-120" windowWidth="24240" windowHeight="13140" xr2:uid="{79412AC8-4AB3-48A9-8FF1-05D7EF2E07A5}"/>
  </bookViews>
  <sheets>
    <sheet name="Famous Places" sheetId="1" r:id="rId1"/>
    <sheet name="Arrivals" sheetId="2" r:id="rId2"/>
  </sheets>
  <definedNames>
    <definedName name="_xlnm._FilterDatabase" localSheetId="0" hidden="1">'Famous Places'!$A$1:$H$31</definedName>
  </definedNames>
  <calcPr calcId="191029"/>
</workbook>
</file>

<file path=xl/calcChain.xml><?xml version="1.0" encoding="utf-8"?>
<calcChain xmlns="http://schemas.openxmlformats.org/spreadsheetml/2006/main">
  <c r="C35" i="1" l="1"/>
  <c r="C36" i="1" l="1"/>
  <c r="E13" i="1"/>
  <c r="E30" i="1"/>
  <c r="E29" i="1"/>
  <c r="E28" i="1"/>
  <c r="E18" i="1"/>
  <c r="E17" i="1"/>
  <c r="E15" i="1"/>
  <c r="E14" i="1"/>
  <c r="E3" i="1"/>
</calcChain>
</file>

<file path=xl/sharedStrings.xml><?xml version="1.0" encoding="utf-8"?>
<sst xmlns="http://schemas.openxmlformats.org/spreadsheetml/2006/main" count="193" uniqueCount="105">
  <si>
    <t>Country</t>
  </si>
  <si>
    <t>Famous_For</t>
  </si>
  <si>
    <t>Eiffel Tower</t>
  </si>
  <si>
    <t>France</t>
  </si>
  <si>
    <t>No</t>
  </si>
  <si>
    <t>Iconic iron lattice tower, symbol of Paris</t>
  </si>
  <si>
    <t>Times Square</t>
  </si>
  <si>
    <t>United States</t>
  </si>
  <si>
    <t>Bright lights, Broadway shows, New Year's Eve ball drop</t>
  </si>
  <si>
    <t>Louvre Museum</t>
  </si>
  <si>
    <t>Yes</t>
  </si>
  <si>
    <t>World's most visited museum, home to Mona Lisa</t>
  </si>
  <si>
    <t>Great Wall of China</t>
  </si>
  <si>
    <t>China</t>
  </si>
  <si>
    <t>Ancient defensive structure visible from space</t>
  </si>
  <si>
    <t>Taj Mahal</t>
  </si>
  <si>
    <t>India</t>
  </si>
  <si>
    <t>White marble mausoleum, symbol of love</t>
  </si>
  <si>
    <t>Colosseum</t>
  </si>
  <si>
    <t>Italy</t>
  </si>
  <si>
    <t>Ancient Roman amphitheater for gladiator battles</t>
  </si>
  <si>
    <t>Statue of Liberty</t>
  </si>
  <si>
    <t>Symbol of freedom and democracy</t>
  </si>
  <si>
    <t>Sydney Opera House</t>
  </si>
  <si>
    <t>Australia</t>
  </si>
  <si>
    <t>Unique sail-like design, performing arts center</t>
  </si>
  <si>
    <t>Machu Picchu</t>
  </si>
  <si>
    <t>Peru</t>
  </si>
  <si>
    <t>Ancient Incan citadel in the Andes mountains</t>
  </si>
  <si>
    <t>Forbidden City</t>
  </si>
  <si>
    <t>Imperial palace of Ming and Qing dynasties</t>
  </si>
  <si>
    <t>Angkor Wat</t>
  </si>
  <si>
    <t>Cambodia</t>
  </si>
  <si>
    <t>Largest religious monument, Hindu-Buddhist temple</t>
  </si>
  <si>
    <t>Notre-Dame Cathedral</t>
  </si>
  <si>
    <t>Gothic masterpiece, medieval Catholic cathedral</t>
  </si>
  <si>
    <t>Central Park</t>
  </si>
  <si>
    <t>Urban park oasis in Manhattan</t>
  </si>
  <si>
    <t>Las Vegas Strip</t>
  </si>
  <si>
    <t>Casino resorts, entertainment, nightlife</t>
  </si>
  <si>
    <t>Empire State Building</t>
  </si>
  <si>
    <t>Art Deco skyscraper, NYC icon</t>
  </si>
  <si>
    <t>Golden Gate Bridge</t>
  </si>
  <si>
    <t>Suspension bridge, engineering marvel</t>
  </si>
  <si>
    <t>Lincoln Memorial</t>
  </si>
  <si>
    <t>Memorial to President Abraham Lincoln</t>
  </si>
  <si>
    <t>Sagrada Familia</t>
  </si>
  <si>
    <t>Spain</t>
  </si>
  <si>
    <t>GaudÃ­'s unfinished basilica, unique architecture</t>
  </si>
  <si>
    <t>Disneyland (California)</t>
  </si>
  <si>
    <t>Original Disney theme park</t>
  </si>
  <si>
    <t>Magic Kingdom (Orlando)</t>
  </si>
  <si>
    <t>Disney World's flagship park with Cinderella Castle</t>
  </si>
  <si>
    <t>Grand Canyon</t>
  </si>
  <si>
    <t>Massive canyon carved by Colorado River</t>
  </si>
  <si>
    <t>Great Pyramid of Giza</t>
  </si>
  <si>
    <t>Egypt</t>
  </si>
  <si>
    <t>Only remaining ancient wonder, pharaoh's tomb</t>
  </si>
  <si>
    <t>Leaning Tower of Pisa</t>
  </si>
  <si>
    <t>Tilted bell tower, architectural anomaly</t>
  </si>
  <si>
    <t>Palace of Versailles</t>
  </si>
  <si>
    <t>Opulent royal residence, Hall of Mirrors</t>
  </si>
  <si>
    <t>Acropolis</t>
  </si>
  <si>
    <t>Greece</t>
  </si>
  <si>
    <t>Ancient citadel, Parthenon temple</t>
  </si>
  <si>
    <t>Burj Khalifa</t>
  </si>
  <si>
    <t>United Arab Emirates</t>
  </si>
  <si>
    <t>Tallest building in the world</t>
  </si>
  <si>
    <t>Big Ben</t>
  </si>
  <si>
    <t>United Kingdom</t>
  </si>
  <si>
    <t>Clock tower, Westminster Palace</t>
  </si>
  <si>
    <t>Tower Bridge</t>
  </si>
  <si>
    <t>Victorian Gothic suspension bridge</t>
  </si>
  <si>
    <t>Buckingham Palace</t>
  </si>
  <si>
    <t>Official residence of British monarch</t>
  </si>
  <si>
    <t>Christ the Redeemer</t>
  </si>
  <si>
    <t>Brazil</t>
  </si>
  <si>
    <t>Art Deco statue of Jesus Christ</t>
  </si>
  <si>
    <t>UNESCO Heritage</t>
  </si>
  <si>
    <t>Ave Visit Hours</t>
  </si>
  <si>
    <t>Entity</t>
  </si>
  <si>
    <t>Code</t>
  </si>
  <si>
    <t>Year</t>
  </si>
  <si>
    <t>Number of arrivals</t>
  </si>
  <si>
    <t>Angola</t>
  </si>
  <si>
    <t>AGO</t>
  </si>
  <si>
    <t>Mauritius</t>
  </si>
  <si>
    <t>MUS</t>
  </si>
  <si>
    <t>Mozambique</t>
  </si>
  <si>
    <t>MOZ</t>
  </si>
  <si>
    <t>Namibia</t>
  </si>
  <si>
    <t>NAM</t>
  </si>
  <si>
    <t>South Africa</t>
  </si>
  <si>
    <t>ZAF</t>
  </si>
  <si>
    <t>Zimbabwe</t>
  </si>
  <si>
    <t>ZWE</t>
  </si>
  <si>
    <t>Revenue (Rmill)</t>
  </si>
  <si>
    <t>Annual Visitors (mill)</t>
  </si>
  <si>
    <t>Place Name</t>
  </si>
  <si>
    <t>Entry Fee (R)</t>
  </si>
  <si>
    <t>Question 3.8</t>
  </si>
  <si>
    <t>Question 3.9</t>
  </si>
  <si>
    <t>Question 3.10</t>
  </si>
  <si>
    <t>Question 3.7</t>
  </si>
  <si>
    <t>Question 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</si>
</sst>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2" fontId="0" fillId="0" borderId="0" xfId="0" applyNumberFormat="1"/>
    <xf numFmtId="0" fontId="18" fillId="34" borderId="10" xfId="0" applyFont="1" applyFill="1" applyBorder="1"/>
    <xf numFmtId="0" fontId="0" fillId="0" borderId="10" xfId="0" applyBorder="1"/>
    <xf numFmtId="0" fontId="18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33" borderId="12" xfId="0" applyFill="1" applyBorder="1"/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8789-C57B-4E80-9A7E-3291F637D10B}">
  <dimension ref="A1:J37"/>
  <sheetViews>
    <sheetView tabSelected="1" zoomScale="90" zoomScaleNormal="90" workbookViewId="0"/>
  </sheetViews>
  <sheetFormatPr defaultRowHeight="14.25"/>
  <cols>
    <col min="1" max="1" width="24.125" bestFit="1" customWidth="1"/>
    <col min="2" max="2" width="19.75" bestFit="1" customWidth="1"/>
    <col min="3" max="3" width="20.375" bestFit="1" customWidth="1"/>
    <col min="4" max="4" width="17.25" bestFit="1" customWidth="1"/>
    <col min="5" max="5" width="12.625" bestFit="1" customWidth="1"/>
    <col min="6" max="6" width="15.75" bestFit="1" customWidth="1"/>
    <col min="7" max="7" width="14.75" bestFit="1" customWidth="1"/>
    <col min="8" max="8" width="51" bestFit="1" customWidth="1"/>
  </cols>
  <sheetData>
    <row r="1" spans="1:10" s="10" customFormat="1" ht="17.25" customHeight="1">
      <c r="A1" s="9" t="s">
        <v>98</v>
      </c>
      <c r="B1" s="9" t="s">
        <v>0</v>
      </c>
      <c r="C1" s="9" t="s">
        <v>97</v>
      </c>
      <c r="D1" s="9" t="s">
        <v>78</v>
      </c>
      <c r="E1" s="9" t="s">
        <v>99</v>
      </c>
      <c r="F1" s="9" t="s">
        <v>96</v>
      </c>
      <c r="G1" s="9" t="s">
        <v>79</v>
      </c>
      <c r="H1" s="9" t="s">
        <v>1</v>
      </c>
    </row>
    <row r="2" spans="1:10">
      <c r="A2" t="s">
        <v>2</v>
      </c>
      <c r="B2" t="s">
        <v>3</v>
      </c>
      <c r="C2">
        <v>7</v>
      </c>
      <c r="D2" t="s">
        <v>4</v>
      </c>
      <c r="E2" s="2">
        <v>586.25</v>
      </c>
      <c r="F2">
        <v>4103.75</v>
      </c>
      <c r="G2">
        <v>2.5</v>
      </c>
      <c r="H2" t="s">
        <v>5</v>
      </c>
    </row>
    <row r="3" spans="1:10">
      <c r="A3" t="s">
        <v>6</v>
      </c>
      <c r="B3" t="s">
        <v>7</v>
      </c>
      <c r="C3">
        <v>50</v>
      </c>
      <c r="D3" t="s">
        <v>4</v>
      </c>
      <c r="E3" s="2">
        <f>C3/F3</f>
        <v>21</v>
      </c>
      <c r="F3">
        <v>2.3809523809523809</v>
      </c>
      <c r="G3">
        <v>1.5</v>
      </c>
      <c r="H3" t="s">
        <v>8</v>
      </c>
    </row>
    <row r="4" spans="1:10">
      <c r="A4" t="s">
        <v>9</v>
      </c>
      <c r="B4" t="s">
        <v>3</v>
      </c>
      <c r="C4">
        <v>8.6999999999999993</v>
      </c>
      <c r="D4" t="s">
        <v>10</v>
      </c>
      <c r="E4" s="2">
        <v>368.5</v>
      </c>
      <c r="F4">
        <v>3205.95</v>
      </c>
      <c r="G4">
        <v>4</v>
      </c>
      <c r="H4" t="s">
        <v>11</v>
      </c>
    </row>
    <row r="5" spans="1:10" ht="15" thickBot="1">
      <c r="A5" t="s">
        <v>12</v>
      </c>
      <c r="B5" t="s">
        <v>13</v>
      </c>
      <c r="C5">
        <v>10</v>
      </c>
      <c r="D5" t="s">
        <v>10</v>
      </c>
      <c r="E5" s="2">
        <v>167.5</v>
      </c>
      <c r="F5">
        <v>1675</v>
      </c>
      <c r="G5">
        <v>4</v>
      </c>
      <c r="H5" t="s">
        <v>14</v>
      </c>
    </row>
    <row r="6" spans="1:10" ht="15" thickBot="1">
      <c r="A6" t="s">
        <v>15</v>
      </c>
      <c r="B6" t="s">
        <v>16</v>
      </c>
      <c r="C6">
        <v>7.5</v>
      </c>
      <c r="D6" t="s">
        <v>10</v>
      </c>
      <c r="E6" s="8"/>
      <c r="F6">
        <v>1884.375</v>
      </c>
      <c r="G6">
        <v>2</v>
      </c>
      <c r="H6" t="s">
        <v>17</v>
      </c>
      <c r="J6" s="2"/>
    </row>
    <row r="7" spans="1:10">
      <c r="A7" t="s">
        <v>18</v>
      </c>
      <c r="B7" t="s">
        <v>19</v>
      </c>
      <c r="C7">
        <v>7.65</v>
      </c>
      <c r="D7" t="s">
        <v>10</v>
      </c>
      <c r="E7" s="2">
        <v>301.5</v>
      </c>
      <c r="F7">
        <v>2306.4749999999999</v>
      </c>
      <c r="G7">
        <v>2.5</v>
      </c>
      <c r="H7" t="s">
        <v>20</v>
      </c>
    </row>
    <row r="8" spans="1:10">
      <c r="A8" t="s">
        <v>21</v>
      </c>
      <c r="B8" t="s">
        <v>7</v>
      </c>
      <c r="C8">
        <v>4.3</v>
      </c>
      <c r="D8" t="s">
        <v>10</v>
      </c>
      <c r="E8" s="2">
        <v>418.75</v>
      </c>
      <c r="F8">
        <v>1800.625</v>
      </c>
      <c r="G8">
        <v>2</v>
      </c>
      <c r="H8" t="s">
        <v>22</v>
      </c>
    </row>
    <row r="9" spans="1:10">
      <c r="A9" t="s">
        <v>23</v>
      </c>
      <c r="B9" t="s">
        <v>24</v>
      </c>
      <c r="C9">
        <v>8.1999999999999993</v>
      </c>
      <c r="D9" t="s">
        <v>10</v>
      </c>
      <c r="E9" s="2">
        <v>820.75</v>
      </c>
      <c r="F9">
        <v>6730.15</v>
      </c>
      <c r="G9">
        <v>1.5</v>
      </c>
      <c r="H9" t="s">
        <v>25</v>
      </c>
    </row>
    <row r="10" spans="1:10">
      <c r="A10" t="s">
        <v>26</v>
      </c>
      <c r="B10" t="s">
        <v>27</v>
      </c>
      <c r="C10">
        <v>1.5</v>
      </c>
      <c r="D10" t="s">
        <v>10</v>
      </c>
      <c r="E10" s="2">
        <v>1172.5</v>
      </c>
      <c r="F10">
        <v>1758.75</v>
      </c>
      <c r="G10">
        <v>8</v>
      </c>
      <c r="H10" t="s">
        <v>28</v>
      </c>
    </row>
    <row r="11" spans="1:10">
      <c r="A11" t="s">
        <v>29</v>
      </c>
      <c r="B11" t="s">
        <v>13</v>
      </c>
      <c r="C11">
        <v>9</v>
      </c>
      <c r="D11" t="s">
        <v>10</v>
      </c>
      <c r="E11" s="2">
        <v>134</v>
      </c>
      <c r="F11">
        <v>1206</v>
      </c>
      <c r="G11">
        <v>3</v>
      </c>
      <c r="H11" t="s">
        <v>30</v>
      </c>
    </row>
    <row r="12" spans="1:10">
      <c r="A12" t="s">
        <v>31</v>
      </c>
      <c r="B12" t="s">
        <v>32</v>
      </c>
      <c r="C12">
        <v>2.6</v>
      </c>
      <c r="D12" t="s">
        <v>10</v>
      </c>
      <c r="E12" s="2">
        <v>619.75</v>
      </c>
      <c r="F12">
        <v>1611.3500000000001</v>
      </c>
      <c r="G12">
        <v>6</v>
      </c>
      <c r="H12" t="s">
        <v>33</v>
      </c>
    </row>
    <row r="13" spans="1:10">
      <c r="A13" t="s">
        <v>34</v>
      </c>
      <c r="B13" t="s">
        <v>3</v>
      </c>
      <c r="C13">
        <v>13</v>
      </c>
      <c r="D13" t="s">
        <v>10</v>
      </c>
      <c r="E13" s="2">
        <f>F13/C13</f>
        <v>57.692307692307693</v>
      </c>
      <c r="F13">
        <v>750</v>
      </c>
      <c r="G13">
        <v>1</v>
      </c>
      <c r="H13" t="s">
        <v>35</v>
      </c>
    </row>
    <row r="14" spans="1:10">
      <c r="A14" t="s">
        <v>36</v>
      </c>
      <c r="B14" t="s">
        <v>7</v>
      </c>
      <c r="C14">
        <v>42</v>
      </c>
      <c r="D14" t="s">
        <v>4</v>
      </c>
      <c r="E14" s="2">
        <f>F14/C14</f>
        <v>12.5</v>
      </c>
      <c r="F14">
        <v>525</v>
      </c>
      <c r="G14">
        <v>3</v>
      </c>
      <c r="H14" t="s">
        <v>37</v>
      </c>
    </row>
    <row r="15" spans="1:10">
      <c r="A15" t="s">
        <v>38</v>
      </c>
      <c r="B15" t="s">
        <v>7</v>
      </c>
      <c r="C15">
        <v>41.7</v>
      </c>
      <c r="D15" t="s">
        <v>4</v>
      </c>
      <c r="E15" s="2">
        <f>F15/C15</f>
        <v>2446.0431654676258</v>
      </c>
      <c r="F15">
        <v>102000</v>
      </c>
      <c r="G15">
        <v>8</v>
      </c>
      <c r="H15" t="s">
        <v>39</v>
      </c>
    </row>
    <row r="16" spans="1:10">
      <c r="A16" t="s">
        <v>40</v>
      </c>
      <c r="B16" t="s">
        <v>7</v>
      </c>
      <c r="C16">
        <v>4.5999999999999996</v>
      </c>
      <c r="D16" t="s">
        <v>4</v>
      </c>
      <c r="E16" s="2">
        <v>737</v>
      </c>
      <c r="F16">
        <v>3390.2</v>
      </c>
      <c r="G16">
        <v>1.5</v>
      </c>
      <c r="H16" t="s">
        <v>41</v>
      </c>
    </row>
    <row r="17" spans="1:8">
      <c r="A17" t="s">
        <v>42</v>
      </c>
      <c r="B17" t="s">
        <v>7</v>
      </c>
      <c r="C17">
        <v>15</v>
      </c>
      <c r="D17" t="s">
        <v>4</v>
      </c>
      <c r="E17" s="2">
        <f t="shared" ref="E17:E18" si="0">F17/C17</f>
        <v>80</v>
      </c>
      <c r="F17">
        <v>1200</v>
      </c>
      <c r="G17">
        <v>1</v>
      </c>
      <c r="H17" t="s">
        <v>43</v>
      </c>
    </row>
    <row r="18" spans="1:8">
      <c r="A18" t="s">
        <v>44</v>
      </c>
      <c r="B18" t="s">
        <v>7</v>
      </c>
      <c r="C18">
        <v>8.5</v>
      </c>
      <c r="D18" t="s">
        <v>4</v>
      </c>
      <c r="E18" s="2">
        <f t="shared" si="0"/>
        <v>44.117647058823529</v>
      </c>
      <c r="F18">
        <v>375</v>
      </c>
      <c r="G18">
        <v>1</v>
      </c>
      <c r="H18" t="s">
        <v>45</v>
      </c>
    </row>
    <row r="19" spans="1:8">
      <c r="A19" t="s">
        <v>46</v>
      </c>
      <c r="B19" t="s">
        <v>47</v>
      </c>
      <c r="C19">
        <v>4.7</v>
      </c>
      <c r="D19" t="s">
        <v>10</v>
      </c>
      <c r="E19" s="2">
        <v>435.5</v>
      </c>
      <c r="F19">
        <v>2046.8500000000001</v>
      </c>
      <c r="G19">
        <v>2</v>
      </c>
      <c r="H19" t="s">
        <v>48</v>
      </c>
    </row>
    <row r="20" spans="1:8">
      <c r="A20" t="s">
        <v>49</v>
      </c>
      <c r="B20" t="s">
        <v>7</v>
      </c>
      <c r="C20">
        <v>16</v>
      </c>
      <c r="D20" t="s">
        <v>4</v>
      </c>
      <c r="E20" s="2">
        <v>1742</v>
      </c>
      <c r="F20">
        <v>27872</v>
      </c>
      <c r="G20">
        <v>8</v>
      </c>
      <c r="H20" t="s">
        <v>50</v>
      </c>
    </row>
    <row r="21" spans="1:8">
      <c r="A21" t="s">
        <v>51</v>
      </c>
      <c r="B21" t="s">
        <v>7</v>
      </c>
      <c r="C21">
        <v>17</v>
      </c>
      <c r="D21" t="s">
        <v>4</v>
      </c>
      <c r="E21" s="2">
        <v>1825.75</v>
      </c>
      <c r="F21">
        <v>31037.75</v>
      </c>
      <c r="G21">
        <v>10</v>
      </c>
      <c r="H21" t="s">
        <v>52</v>
      </c>
    </row>
    <row r="22" spans="1:8">
      <c r="A22" t="s">
        <v>53</v>
      </c>
      <c r="B22" t="s">
        <v>7</v>
      </c>
      <c r="C22">
        <v>6</v>
      </c>
      <c r="D22" t="s">
        <v>10</v>
      </c>
      <c r="E22" s="2">
        <v>586.25</v>
      </c>
      <c r="F22">
        <v>3517.5</v>
      </c>
      <c r="G22">
        <v>5</v>
      </c>
      <c r="H22" t="s">
        <v>54</v>
      </c>
    </row>
    <row r="23" spans="1:8">
      <c r="A23" t="s">
        <v>55</v>
      </c>
      <c r="B23" t="s">
        <v>56</v>
      </c>
      <c r="C23">
        <v>2.8</v>
      </c>
      <c r="D23" t="s">
        <v>10</v>
      </c>
      <c r="E23" s="2">
        <v>335</v>
      </c>
      <c r="F23">
        <v>937.99999999999989</v>
      </c>
      <c r="G23">
        <v>3</v>
      </c>
      <c r="H23" t="s">
        <v>57</v>
      </c>
    </row>
    <row r="24" spans="1:8">
      <c r="A24" t="s">
        <v>58</v>
      </c>
      <c r="B24" t="s">
        <v>19</v>
      </c>
      <c r="C24">
        <v>5</v>
      </c>
      <c r="D24" t="s">
        <v>10</v>
      </c>
      <c r="E24" s="2">
        <v>335</v>
      </c>
      <c r="F24">
        <v>1675</v>
      </c>
      <c r="G24">
        <v>1.5</v>
      </c>
      <c r="H24" t="s">
        <v>59</v>
      </c>
    </row>
    <row r="25" spans="1:8">
      <c r="A25" t="s">
        <v>60</v>
      </c>
      <c r="B25" t="s">
        <v>3</v>
      </c>
      <c r="C25">
        <v>7.7</v>
      </c>
      <c r="D25" t="s">
        <v>10</v>
      </c>
      <c r="E25" s="2">
        <v>351.75</v>
      </c>
      <c r="F25">
        <v>2708.4749999999999</v>
      </c>
      <c r="G25">
        <v>4</v>
      </c>
      <c r="H25" t="s">
        <v>61</v>
      </c>
    </row>
    <row r="26" spans="1:8">
      <c r="A26" t="s">
        <v>62</v>
      </c>
      <c r="B26" t="s">
        <v>63</v>
      </c>
      <c r="C26">
        <v>4</v>
      </c>
      <c r="D26" t="s">
        <v>10</v>
      </c>
      <c r="E26" s="2">
        <v>217.75</v>
      </c>
      <c r="F26">
        <v>871</v>
      </c>
      <c r="G26">
        <v>3</v>
      </c>
      <c r="H26" t="s">
        <v>64</v>
      </c>
    </row>
    <row r="27" spans="1:8">
      <c r="A27" t="s">
        <v>65</v>
      </c>
      <c r="B27" t="s">
        <v>66</v>
      </c>
      <c r="C27">
        <v>6</v>
      </c>
      <c r="D27" t="s">
        <v>4</v>
      </c>
      <c r="E27" s="2">
        <v>753.75</v>
      </c>
      <c r="F27">
        <v>4522.5</v>
      </c>
      <c r="G27">
        <v>2</v>
      </c>
      <c r="H27" t="s">
        <v>67</v>
      </c>
    </row>
    <row r="28" spans="1:8">
      <c r="A28" t="s">
        <v>68</v>
      </c>
      <c r="B28" t="s">
        <v>69</v>
      </c>
      <c r="C28">
        <v>5.5</v>
      </c>
      <c r="D28" t="s">
        <v>10</v>
      </c>
      <c r="E28" s="2">
        <f t="shared" ref="E28:E30" si="1">F28/C28</f>
        <v>177.27272727272728</v>
      </c>
      <c r="F28">
        <v>975</v>
      </c>
      <c r="G28">
        <v>0.5</v>
      </c>
      <c r="H28" t="s">
        <v>70</v>
      </c>
    </row>
    <row r="29" spans="1:8">
      <c r="A29" t="s">
        <v>71</v>
      </c>
      <c r="B29" t="s">
        <v>69</v>
      </c>
      <c r="C29">
        <v>6.8</v>
      </c>
      <c r="D29" t="s">
        <v>4</v>
      </c>
      <c r="E29" s="2">
        <f t="shared" si="1"/>
        <v>154.41176470588235</v>
      </c>
      <c r="F29">
        <v>1050</v>
      </c>
      <c r="G29">
        <v>1</v>
      </c>
      <c r="H29" t="s">
        <v>72</v>
      </c>
    </row>
    <row r="30" spans="1:8">
      <c r="A30" t="s">
        <v>73</v>
      </c>
      <c r="B30" t="s">
        <v>69</v>
      </c>
      <c r="C30">
        <v>15</v>
      </c>
      <c r="D30" t="s">
        <v>4</v>
      </c>
      <c r="E30" s="2">
        <f t="shared" si="1"/>
        <v>120</v>
      </c>
      <c r="F30">
        <v>1800</v>
      </c>
      <c r="G30">
        <v>1</v>
      </c>
      <c r="H30" t="s">
        <v>74</v>
      </c>
    </row>
    <row r="31" spans="1:8">
      <c r="A31" t="s">
        <v>75</v>
      </c>
      <c r="B31" t="s">
        <v>76</v>
      </c>
      <c r="C31">
        <v>2.2000000000000002</v>
      </c>
      <c r="D31" t="s">
        <v>4</v>
      </c>
      <c r="E31" s="2">
        <v>201</v>
      </c>
      <c r="F31">
        <v>442.20000000000005</v>
      </c>
      <c r="G31">
        <v>1.5</v>
      </c>
      <c r="H31" t="s">
        <v>77</v>
      </c>
    </row>
    <row r="32" spans="1:8" ht="15" thickBot="1"/>
    <row r="33" spans="2:3">
      <c r="B33" s="3" t="s">
        <v>104</v>
      </c>
      <c r="C33" s="4"/>
    </row>
    <row r="34" spans="2:3">
      <c r="B34" s="5" t="s">
        <v>103</v>
      </c>
      <c r="C34" s="6"/>
    </row>
    <row r="35" spans="2:3">
      <c r="B35" s="5" t="s">
        <v>100</v>
      </c>
      <c r="C35" s="6" t="e">
        <f>SMALL(E2:E31,31)</f>
        <v>#NUM!</v>
      </c>
    </row>
    <row r="36" spans="2:3">
      <c r="B36" s="5" t="s">
        <v>101</v>
      </c>
      <c r="C36" s="7">
        <f>MIN(E2:E31)</f>
        <v>12.5</v>
      </c>
    </row>
    <row r="37" spans="2:3">
      <c r="B37" s="5" t="s">
        <v>102</v>
      </c>
      <c r="C37" s="7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0E31-F512-453F-B15C-08A9C90549EF}">
  <dimension ref="A1:D29"/>
  <sheetViews>
    <sheetView workbookViewId="0">
      <selection activeCell="I14" sqref="I14"/>
    </sheetView>
  </sheetViews>
  <sheetFormatPr defaultRowHeight="14.25"/>
  <cols>
    <col min="1" max="1" width="12.375" bestFit="1" customWidth="1"/>
    <col min="2" max="2" width="5.375" bestFit="1" customWidth="1"/>
    <col min="3" max="3" width="5" bestFit="1" customWidth="1"/>
    <col min="4" max="4" width="17.75" bestFit="1" customWidth="1"/>
  </cols>
  <sheetData>
    <row r="1" spans="1:4" ht="15">
      <c r="A1" s="1" t="s">
        <v>80</v>
      </c>
      <c r="B1" s="1" t="s">
        <v>81</v>
      </c>
      <c r="C1" s="1" t="s">
        <v>82</v>
      </c>
      <c r="D1" s="1" t="s">
        <v>83</v>
      </c>
    </row>
    <row r="2" spans="1:4">
      <c r="A2" t="s">
        <v>84</v>
      </c>
      <c r="B2" t="s">
        <v>85</v>
      </c>
      <c r="C2">
        <v>2016</v>
      </c>
      <c r="D2">
        <v>397000</v>
      </c>
    </row>
    <row r="3" spans="1:4">
      <c r="A3" t="s">
        <v>84</v>
      </c>
      <c r="B3" t="s">
        <v>85</v>
      </c>
      <c r="C3">
        <v>2017</v>
      </c>
      <c r="D3">
        <v>261000</v>
      </c>
    </row>
    <row r="4" spans="1:4">
      <c r="A4" t="s">
        <v>84</v>
      </c>
      <c r="B4" t="s">
        <v>85</v>
      </c>
      <c r="C4">
        <v>2018</v>
      </c>
      <c r="D4">
        <v>218000</v>
      </c>
    </row>
    <row r="5" spans="1:4">
      <c r="A5" t="s">
        <v>84</v>
      </c>
      <c r="B5" t="s">
        <v>85</v>
      </c>
      <c r="C5">
        <v>2019</v>
      </c>
      <c r="D5">
        <v>218000</v>
      </c>
    </row>
    <row r="6" spans="1:4">
      <c r="A6" t="s">
        <v>86</v>
      </c>
      <c r="B6" t="s">
        <v>87</v>
      </c>
      <c r="C6">
        <v>2016</v>
      </c>
      <c r="D6">
        <v>1307000</v>
      </c>
    </row>
    <row r="7" spans="1:4">
      <c r="A7" t="s">
        <v>86</v>
      </c>
      <c r="B7" t="s">
        <v>87</v>
      </c>
      <c r="C7">
        <v>2017</v>
      </c>
      <c r="D7">
        <v>1371000</v>
      </c>
    </row>
    <row r="8" spans="1:4">
      <c r="A8" t="s">
        <v>86</v>
      </c>
      <c r="B8" t="s">
        <v>87</v>
      </c>
      <c r="C8">
        <v>2018</v>
      </c>
      <c r="D8">
        <v>1431000</v>
      </c>
    </row>
    <row r="9" spans="1:4">
      <c r="A9" t="s">
        <v>86</v>
      </c>
      <c r="B9" t="s">
        <v>87</v>
      </c>
      <c r="C9">
        <v>2019</v>
      </c>
      <c r="D9">
        <v>1418000</v>
      </c>
    </row>
    <row r="10" spans="1:4">
      <c r="A10" t="s">
        <v>86</v>
      </c>
      <c r="B10" t="s">
        <v>87</v>
      </c>
      <c r="C10">
        <v>2020</v>
      </c>
      <c r="D10">
        <v>316000</v>
      </c>
    </row>
    <row r="11" spans="1:4">
      <c r="A11" t="s">
        <v>88</v>
      </c>
      <c r="B11" t="s">
        <v>89</v>
      </c>
      <c r="C11">
        <v>2016</v>
      </c>
      <c r="D11">
        <v>1715000</v>
      </c>
    </row>
    <row r="12" spans="1:4">
      <c r="A12" t="s">
        <v>88</v>
      </c>
      <c r="B12" t="s">
        <v>89</v>
      </c>
      <c r="C12">
        <v>2017</v>
      </c>
      <c r="D12">
        <v>1514000</v>
      </c>
    </row>
    <row r="13" spans="1:4">
      <c r="A13" t="s">
        <v>88</v>
      </c>
      <c r="B13" t="s">
        <v>89</v>
      </c>
      <c r="C13">
        <v>2018</v>
      </c>
      <c r="D13">
        <v>2870000</v>
      </c>
    </row>
    <row r="14" spans="1:4">
      <c r="A14" t="s">
        <v>88</v>
      </c>
      <c r="B14" t="s">
        <v>89</v>
      </c>
      <c r="C14">
        <v>2019</v>
      </c>
      <c r="D14">
        <v>2033000</v>
      </c>
    </row>
    <row r="15" spans="1:4">
      <c r="A15" t="s">
        <v>90</v>
      </c>
      <c r="B15" t="s">
        <v>91</v>
      </c>
      <c r="C15">
        <v>2016</v>
      </c>
      <c r="D15">
        <v>1551000</v>
      </c>
    </row>
    <row r="16" spans="1:4">
      <c r="A16" t="s">
        <v>90</v>
      </c>
      <c r="B16" t="s">
        <v>91</v>
      </c>
      <c r="C16">
        <v>2017</v>
      </c>
      <c r="D16">
        <v>1581000</v>
      </c>
    </row>
    <row r="17" spans="1:4">
      <c r="A17" t="s">
        <v>90</v>
      </c>
      <c r="B17" t="s">
        <v>91</v>
      </c>
      <c r="C17">
        <v>2018</v>
      </c>
      <c r="D17">
        <v>1639000</v>
      </c>
    </row>
    <row r="18" spans="1:4">
      <c r="A18" t="s">
        <v>90</v>
      </c>
      <c r="B18" t="s">
        <v>91</v>
      </c>
      <c r="C18">
        <v>2019</v>
      </c>
      <c r="D18">
        <v>1651000</v>
      </c>
    </row>
    <row r="19" spans="1:4">
      <c r="A19" t="s">
        <v>90</v>
      </c>
      <c r="B19" t="s">
        <v>91</v>
      </c>
      <c r="C19">
        <v>2020</v>
      </c>
      <c r="D19">
        <v>187100</v>
      </c>
    </row>
    <row r="20" spans="1:4">
      <c r="A20" t="s">
        <v>92</v>
      </c>
      <c r="B20" t="s">
        <v>93</v>
      </c>
      <c r="C20">
        <v>2016</v>
      </c>
      <c r="D20">
        <v>15121000</v>
      </c>
    </row>
    <row r="21" spans="1:4">
      <c r="A21" t="s">
        <v>92</v>
      </c>
      <c r="B21" t="s">
        <v>93</v>
      </c>
      <c r="C21">
        <v>2017</v>
      </c>
      <c r="D21">
        <v>14975000</v>
      </c>
    </row>
    <row r="22" spans="1:4">
      <c r="A22" t="s">
        <v>92</v>
      </c>
      <c r="B22" t="s">
        <v>93</v>
      </c>
      <c r="C22">
        <v>2018</v>
      </c>
      <c r="D22">
        <v>15004000</v>
      </c>
    </row>
    <row r="23" spans="1:4">
      <c r="A23" t="s">
        <v>92</v>
      </c>
      <c r="B23" t="s">
        <v>93</v>
      </c>
      <c r="C23">
        <v>2019</v>
      </c>
      <c r="D23">
        <v>14797000</v>
      </c>
    </row>
    <row r="24" spans="1:4">
      <c r="A24" t="s">
        <v>92</v>
      </c>
      <c r="B24" t="s">
        <v>93</v>
      </c>
      <c r="C24">
        <v>2020</v>
      </c>
      <c r="D24">
        <v>3886600</v>
      </c>
    </row>
    <row r="25" spans="1:4">
      <c r="A25" t="s">
        <v>94</v>
      </c>
      <c r="B25" t="s">
        <v>95</v>
      </c>
      <c r="C25">
        <v>2016</v>
      </c>
      <c r="D25">
        <v>2168000</v>
      </c>
    </row>
    <row r="26" spans="1:4">
      <c r="A26" t="s">
        <v>94</v>
      </c>
      <c r="B26" t="s">
        <v>95</v>
      </c>
      <c r="C26">
        <v>2017</v>
      </c>
      <c r="D26">
        <v>2423000</v>
      </c>
    </row>
    <row r="27" spans="1:4">
      <c r="A27" t="s">
        <v>94</v>
      </c>
      <c r="B27" t="s">
        <v>95</v>
      </c>
      <c r="C27">
        <v>2018</v>
      </c>
      <c r="D27">
        <v>2580000</v>
      </c>
    </row>
    <row r="28" spans="1:4">
      <c r="A28" t="s">
        <v>94</v>
      </c>
      <c r="B28" t="s">
        <v>95</v>
      </c>
      <c r="C28">
        <v>2019</v>
      </c>
      <c r="D28">
        <v>2294000</v>
      </c>
    </row>
    <row r="29" spans="1:4">
      <c r="A29" t="s">
        <v>94</v>
      </c>
      <c r="B29" t="s">
        <v>95</v>
      </c>
      <c r="C29">
        <v>2020</v>
      </c>
      <c r="D29">
        <v>639000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Famous Places</vt:lpstr>
      <vt:lpstr>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RAMONA ANESTASIA RABE</cp:lastModifiedBy>
  <dcterms:created xsi:type="dcterms:W3CDTF">2026-02-24T08:41:28Z</dcterms:created>
  <dcterms:modified xsi:type="dcterms:W3CDTF">2026-05-20T17:51:09Z</dcterms:modified>
</cp:coreProperties>
</file>