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K:\Teachers\CAT\Admin\Assesments\Term 3\Gr11 Practical\Test_Data\"/>
    </mc:Choice>
  </mc:AlternateContent>
  <xr:revisionPtr revIDLastSave="0" documentId="13_ncr:1_{E715759F-E674-42C9-B886-B4C6740F7A6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nvestors" sheetId="1" r:id="rId1"/>
    <sheet name="Summary" sheetId="6" r:id="rId2"/>
    <sheet name="Sheet1" sheetId="5" state="hidden" r:id="rId3"/>
    <sheet name="Code_Guide" sheetId="2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</calcChain>
</file>

<file path=xl/sharedStrings.xml><?xml version="1.0" encoding="utf-8"?>
<sst xmlns="http://schemas.openxmlformats.org/spreadsheetml/2006/main" count="689" uniqueCount="259">
  <si>
    <t>Diamond ID</t>
  </si>
  <si>
    <t>Mine</t>
  </si>
  <si>
    <t>Country</t>
  </si>
  <si>
    <t>Carat</t>
  </si>
  <si>
    <t>Cut</t>
  </si>
  <si>
    <t>Colour Code</t>
  </si>
  <si>
    <t>Clarity Code</t>
  </si>
  <si>
    <t>Length (mm)</t>
  </si>
  <si>
    <t>Width (mm)</t>
  </si>
  <si>
    <t>Height (mm)</t>
  </si>
  <si>
    <t>Base Price (R)</t>
  </si>
  <si>
    <t>Price per Carat</t>
  </si>
  <si>
    <t>Kimberley</t>
  </si>
  <si>
    <t>South Africa</t>
  </si>
  <si>
    <t>Premium</t>
  </si>
  <si>
    <t>F</t>
  </si>
  <si>
    <t>Colourless - very high quality</t>
  </si>
  <si>
    <t>SI2</t>
  </si>
  <si>
    <t>Slightly Included 2 - marks easier to notice</t>
  </si>
  <si>
    <t>Cullinan</t>
  </si>
  <si>
    <t>Good</t>
  </si>
  <si>
    <t>H</t>
  </si>
  <si>
    <t>Near colourless - good value</t>
  </si>
  <si>
    <t>VS2</t>
  </si>
  <si>
    <t>Very Slightly Included 2 - minor marks easier to see under magnification</t>
  </si>
  <si>
    <t>Venetia</t>
  </si>
  <si>
    <t>D</t>
  </si>
  <si>
    <t>Colourless - highest colour grade</t>
  </si>
  <si>
    <t>SI1</t>
  </si>
  <si>
    <t>Slightly Included 1 - marks may be noticeable under magnification</t>
  </si>
  <si>
    <t>Jwaneng</t>
  </si>
  <si>
    <t>Botswana</t>
  </si>
  <si>
    <t>E</t>
  </si>
  <si>
    <t>Colourless - excellent white</t>
  </si>
  <si>
    <t>Orapa</t>
  </si>
  <si>
    <t>Very Good</t>
  </si>
  <si>
    <t>VVS2</t>
  </si>
  <si>
    <t>Very Very Slightly Included 2 - very difficult to see marks</t>
  </si>
  <si>
    <t>Karowe</t>
  </si>
  <si>
    <t>Ekati</t>
  </si>
  <si>
    <t>Canada</t>
  </si>
  <si>
    <t>Diavik</t>
  </si>
  <si>
    <t>Ideal</t>
  </si>
  <si>
    <t>Argyle</t>
  </si>
  <si>
    <t>Australia</t>
  </si>
  <si>
    <t>Mir</t>
  </si>
  <si>
    <t>Russia</t>
  </si>
  <si>
    <t>VVS1</t>
  </si>
  <si>
    <t>Very Very Slightly Included 1 - extremely difficult to see marks</t>
  </si>
  <si>
    <t>G</t>
  </si>
  <si>
    <t>Near colourless - slight warmth</t>
  </si>
  <si>
    <t>Fair</t>
  </si>
  <si>
    <t>VS1</t>
  </si>
  <si>
    <t>Very Slightly Included 1 - minor marks difficult to see</t>
  </si>
  <si>
    <t>I</t>
  </si>
  <si>
    <t>Near colourless - visible warmth</t>
  </si>
  <si>
    <t>I1</t>
  </si>
  <si>
    <t>Included 1 - inclusions are visible and may affect appearance</t>
  </si>
  <si>
    <t>J</t>
  </si>
  <si>
    <t>Near colourless - warmer tone</t>
  </si>
  <si>
    <t>IF</t>
  </si>
  <si>
    <t>Internally Flawless - no internal marks visible under 10x magnification</t>
  </si>
  <si>
    <t>Learner-friendly meaning</t>
  </si>
  <si>
    <t>Relative grade</t>
  </si>
  <si>
    <t>Cut grades in dataset</t>
  </si>
  <si>
    <t>Meaning</t>
  </si>
  <si>
    <t>Basic cut quality</t>
  </si>
  <si>
    <t>Acceptable cut quality</t>
  </si>
  <si>
    <t>Better cut quality</t>
  </si>
  <si>
    <t>High cut quality</t>
  </si>
  <si>
    <t>Excellent cut quality</t>
  </si>
  <si>
    <t>DIA-001</t>
  </si>
  <si>
    <t>DIA-002</t>
  </si>
  <si>
    <t>DIA-003</t>
  </si>
  <si>
    <t>DIA-004</t>
  </si>
  <si>
    <t>DIA-005</t>
  </si>
  <si>
    <t>DIA-006</t>
  </si>
  <si>
    <t>DIA-007</t>
  </si>
  <si>
    <t>DIA-008</t>
  </si>
  <si>
    <t>DIA-009</t>
  </si>
  <si>
    <t>DIA-010</t>
  </si>
  <si>
    <t>DIA-011</t>
  </si>
  <si>
    <t>DIA-012</t>
  </si>
  <si>
    <t>DIA-013</t>
  </si>
  <si>
    <t>DIA-014</t>
  </si>
  <si>
    <t>DIA-015</t>
  </si>
  <si>
    <t>DIA-016</t>
  </si>
  <si>
    <t>DIA-017</t>
  </si>
  <si>
    <t>DIA-018</t>
  </si>
  <si>
    <t>DIA-019</t>
  </si>
  <si>
    <t>DIA-020</t>
  </si>
  <si>
    <t>DIA-021</t>
  </si>
  <si>
    <t>DIA-022</t>
  </si>
  <si>
    <t>DIA-023</t>
  </si>
  <si>
    <t>DIA-024</t>
  </si>
  <si>
    <t>DIA-025</t>
  </si>
  <si>
    <t>DIA-026</t>
  </si>
  <si>
    <t>DIA-027</t>
  </si>
  <si>
    <t>DIA-028</t>
  </si>
  <si>
    <t>DIA-029</t>
  </si>
  <si>
    <t>DIA-030</t>
  </si>
  <si>
    <t>DIA-031</t>
  </si>
  <si>
    <t>DIA-032</t>
  </si>
  <si>
    <t>DIA-033</t>
  </si>
  <si>
    <t>DIA-034</t>
  </si>
  <si>
    <t>DIA-035</t>
  </si>
  <si>
    <t>DIA-036</t>
  </si>
  <si>
    <t>DIA-037</t>
  </si>
  <si>
    <t>DIA-038</t>
  </si>
  <si>
    <t>DIA-039</t>
  </si>
  <si>
    <t>DIA-040</t>
  </si>
  <si>
    <t>DIA-041</t>
  </si>
  <si>
    <t>DIA-042</t>
  </si>
  <si>
    <t>DIA-043</t>
  </si>
  <si>
    <t>DIA-044</t>
  </si>
  <si>
    <t>DIA-045</t>
  </si>
  <si>
    <t>DIA-046</t>
  </si>
  <si>
    <t>DIA-047</t>
  </si>
  <si>
    <t>DIA-048</t>
  </si>
  <si>
    <t>DIA-049</t>
  </si>
  <si>
    <t>DIA-050</t>
  </si>
  <si>
    <t>DIA-051</t>
  </si>
  <si>
    <t>DIA-052</t>
  </si>
  <si>
    <t>DIA-053</t>
  </si>
  <si>
    <t>DIA-054</t>
  </si>
  <si>
    <t>DIA-055</t>
  </si>
  <si>
    <t>DIA-056</t>
  </si>
  <si>
    <t>DIA-057</t>
  </si>
  <si>
    <t>DIA-058</t>
  </si>
  <si>
    <t>DIA-059</t>
  </si>
  <si>
    <t>DIA-060</t>
  </si>
  <si>
    <t>DIA-061</t>
  </si>
  <si>
    <t>DIA-062</t>
  </si>
  <si>
    <t>DIA-063</t>
  </si>
  <si>
    <t>DIA-064</t>
  </si>
  <si>
    <t>DIA-065</t>
  </si>
  <si>
    <t>DIA-066</t>
  </si>
  <si>
    <t>DIA-067</t>
  </si>
  <si>
    <t>DIA-068</t>
  </si>
  <si>
    <t>DIA-069</t>
  </si>
  <si>
    <t>DIA-070</t>
  </si>
  <si>
    <t>DIA-071</t>
  </si>
  <si>
    <t>DIA-072</t>
  </si>
  <si>
    <t>DIA-073</t>
  </si>
  <si>
    <t>DIA-074</t>
  </si>
  <si>
    <t>DIA-075</t>
  </si>
  <si>
    <t>DIA-076</t>
  </si>
  <si>
    <t>DIA-077</t>
  </si>
  <si>
    <t>DIA-078</t>
  </si>
  <si>
    <t>DIA-079</t>
  </si>
  <si>
    <t>DIA-080</t>
  </si>
  <si>
    <t>DIA-081</t>
  </si>
  <si>
    <t>DIA-082</t>
  </si>
  <si>
    <t>DIA-083</t>
  </si>
  <si>
    <t>DIA-084</t>
  </si>
  <si>
    <t>DIA-085</t>
  </si>
  <si>
    <t>DIA-086</t>
  </si>
  <si>
    <t>DIA-087</t>
  </si>
  <si>
    <t>DIA-088</t>
  </si>
  <si>
    <t>DIA-089</t>
  </si>
  <si>
    <t>DIA-090</t>
  </si>
  <si>
    <t>DIA-091</t>
  </si>
  <si>
    <t>DIA-092</t>
  </si>
  <si>
    <t>DIA-093</t>
  </si>
  <si>
    <t>DIA-094</t>
  </si>
  <si>
    <t>DIA-095</t>
  </si>
  <si>
    <t>DIA-096</t>
  </si>
  <si>
    <t>DIA-097</t>
  </si>
  <si>
    <t>DIA-098</t>
  </si>
  <si>
    <t>DIA-099</t>
  </si>
  <si>
    <t>DIA-100</t>
  </si>
  <si>
    <t>retail price</t>
  </si>
  <si>
    <t>Title</t>
  </si>
  <si>
    <t>Name</t>
  </si>
  <si>
    <t>Surname</t>
  </si>
  <si>
    <t>Company</t>
  </si>
  <si>
    <t>City</t>
  </si>
  <si>
    <t>Category</t>
  </si>
  <si>
    <t>RSVPDate</t>
  </si>
  <si>
    <t>Date</t>
  </si>
  <si>
    <t>Mr</t>
  </si>
  <si>
    <t>Sipho</t>
  </si>
  <si>
    <t>Mbeki</t>
  </si>
  <si>
    <t>African Gems</t>
  </si>
  <si>
    <t>Johannesburg</t>
  </si>
  <si>
    <t>Investor</t>
  </si>
  <si>
    <t>Ms</t>
  </si>
  <si>
    <t>Karen</t>
  </si>
  <si>
    <t>Smith</t>
  </si>
  <si>
    <t>Diamond Retail SA</t>
  </si>
  <si>
    <t>Cape Town</t>
  </si>
  <si>
    <t>Retail Partner</t>
  </si>
  <si>
    <t>Dr</t>
  </si>
  <si>
    <t>Thabo</t>
  </si>
  <si>
    <t>Molefe</t>
  </si>
  <si>
    <t>GeoTech Mining</t>
  </si>
  <si>
    <t>Mining Partner</t>
  </si>
  <si>
    <t>Mrs</t>
  </si>
  <si>
    <t>Fatima</t>
  </si>
  <si>
    <t>Khan</t>
  </si>
  <si>
    <t>Luxury Jewellers</t>
  </si>
  <si>
    <t>Durban</t>
  </si>
  <si>
    <t>Jewellery Retailer</t>
  </si>
  <si>
    <t>Pieter</t>
  </si>
  <si>
    <t>Botha</t>
  </si>
  <si>
    <t>Northern Diamonds</t>
  </si>
  <si>
    <t>Upington</t>
  </si>
  <si>
    <t>Naledi</t>
  </si>
  <si>
    <t>Dlamini</t>
  </si>
  <si>
    <t>Future Mining Solutions</t>
  </si>
  <si>
    <t>Pretoria</t>
  </si>
  <si>
    <t>Technology Partner</t>
  </si>
  <si>
    <t>Andre</t>
  </si>
  <si>
    <t>Jacobs</t>
  </si>
  <si>
    <t>Cape Diamond Traders</t>
  </si>
  <si>
    <t>Lerato</t>
  </si>
  <si>
    <t>Mokoena</t>
  </si>
  <si>
    <t>SmartMine Analytics</t>
  </si>
  <si>
    <t>Wendy</t>
  </si>
  <si>
    <t>Naidoo</t>
  </si>
  <si>
    <t>Brilliant Gems</t>
  </si>
  <si>
    <t>Johan</t>
  </si>
  <si>
    <t>van Zyl</t>
  </si>
  <si>
    <t>Karoo Mining Group</t>
  </si>
  <si>
    <t>Kabelo</t>
  </si>
  <si>
    <t>Ndlovu</t>
  </si>
  <si>
    <t>Precision Diamonds</t>
  </si>
  <si>
    <t>Bloemfontein</t>
  </si>
  <si>
    <t>Zanele</t>
  </si>
  <si>
    <t>Mthembu</t>
  </si>
  <si>
    <t>Sparkle Jewellers</t>
  </si>
  <si>
    <t>East London</t>
  </si>
  <si>
    <t>Michael</t>
  </si>
  <si>
    <t>Adams</t>
  </si>
  <si>
    <t>GeoScan Africa</t>
  </si>
  <si>
    <t>Port Elizabeth</t>
  </si>
  <si>
    <t>Sharon</t>
  </si>
  <si>
    <t>Petersen</t>
  </si>
  <si>
    <t>Diamond World SA</t>
  </si>
  <si>
    <t>David</t>
  </si>
  <si>
    <t>Northern Cape Mining</t>
  </si>
  <si>
    <t>Candice</t>
  </si>
  <si>
    <t>Williams</t>
  </si>
  <si>
    <t>Elite Gem Traders</t>
  </si>
  <si>
    <t>George</t>
  </si>
  <si>
    <t>Yusuf</t>
  </si>
  <si>
    <t>Ismail</t>
  </si>
  <si>
    <t>Future Diamonds Group</t>
  </si>
  <si>
    <t>Refilwe</t>
  </si>
  <si>
    <t>Sekgobela</t>
  </si>
  <si>
    <t>Smart Earth Analytics</t>
  </si>
  <si>
    <t>Linda</t>
  </si>
  <si>
    <t>Ferreira</t>
  </si>
  <si>
    <t>Luxury Stone Collections</t>
  </si>
  <si>
    <t>Nelspruit</t>
  </si>
  <si>
    <t>Chris</t>
  </si>
  <si>
    <t>van Wyk</t>
  </si>
  <si>
    <t>African Diamond Resources</t>
  </si>
  <si>
    <t>Question 2.4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</si>
</sst>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11"/>
      <color theme="1"/>
      <name val="Calibri"/>
      <family val="2"/>
      <scheme val="minor"/>
    </font>
    <font>
      <b/>
      <sz val="11"/>
      <color rgb="FFFFFFFF"/>
      <name val="Carlito"/>
    </font>
    <font>
      <b/>
      <sz val="11"/>
      <color theme="1"/>
      <name val="Calibri"/>
      <family val="2"/>
      <scheme val="minor"/>
    </font>
    <font>
      <sz val="8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0" xfId="1" applyFont="1"/>
    <xf numFmtId="0" fontId="1" fillId="0" borderId="0" xfId="1"/>
    <xf numFmtId="15" fontId="1" fillId="0" borderId="0" xfId="1" applyNumberFormat="1"/>
    <xf numFmtId="0" fontId="0" fillId="3" borderId="1" xfId="0" applyFill="1" applyBorder="1"/>
    <xf numFmtId="0" fontId="0" fillId="0" borderId="2" xfId="0" applyBorder="1"/>
  </cellXfs>
  <cellStyles count="2">
    <cellStyle name="Normal" xfId="0" builtinId="0"/>
    <cellStyle name="Normal 2" xfId="1" xr:uid="{06825839-569D-4660-9179-B180F02D30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8"/>
  <sheetViews>
    <sheetView tabSelected="1" topLeftCell="B1" workbookViewId="0">
      <selection activeCell="J12" sqref="J12"/>
    </sheetView>
  </sheetViews>
  <sheetFormatPr defaultRowHeight="14.25"/>
  <cols>
    <col min="1" max="1" width="11" bestFit="1" customWidth="1"/>
    <col min="2" max="3" width="14" customWidth="1"/>
    <col min="4" max="4" width="9" customWidth="1"/>
    <col min="5" max="5" width="12" customWidth="1"/>
    <col min="6" max="9" width="11" customWidth="1"/>
    <col min="10" max="11" width="14" customWidth="1"/>
    <col min="12" max="12" width="12" customWidth="1"/>
    <col min="13" max="13" width="11.25" bestFit="1" customWidth="1"/>
    <col min="14" max="14" width="16.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 spans="1:11">
      <c r="A2" t="s">
        <v>71</v>
      </c>
      <c r="B2" t="s">
        <v>12</v>
      </c>
      <c r="C2" t="s">
        <v>13</v>
      </c>
      <c r="D2">
        <v>1.21</v>
      </c>
      <c r="E2" t="s">
        <v>14</v>
      </c>
      <c r="F2" t="s">
        <v>15</v>
      </c>
      <c r="G2">
        <v>6.93</v>
      </c>
      <c r="H2">
        <v>6.88</v>
      </c>
      <c r="I2">
        <v>4.25</v>
      </c>
      <c r="J2">
        <v>88875</v>
      </c>
      <c r="K2">
        <f t="shared" ref="K2:K33" si="0">J2/D2</f>
        <v>73450.413223140495</v>
      </c>
    </row>
    <row r="3" spans="1:11">
      <c r="A3" t="s">
        <v>72</v>
      </c>
      <c r="B3" t="s">
        <v>19</v>
      </c>
      <c r="C3" t="s">
        <v>13</v>
      </c>
      <c r="D3">
        <v>1.22</v>
      </c>
      <c r="E3" t="s">
        <v>20</v>
      </c>
      <c r="F3" t="s">
        <v>21</v>
      </c>
      <c r="G3">
        <v>6.77</v>
      </c>
      <c r="H3">
        <v>6.71</v>
      </c>
      <c r="I3">
        <v>4.3</v>
      </c>
      <c r="J3">
        <v>135019</v>
      </c>
      <c r="K3">
        <f t="shared" si="0"/>
        <v>110671.31147540984</v>
      </c>
    </row>
    <row r="4" spans="1:11">
      <c r="A4" t="s">
        <v>73</v>
      </c>
      <c r="B4" t="s">
        <v>25</v>
      </c>
      <c r="C4" t="s">
        <v>13</v>
      </c>
      <c r="D4">
        <v>1.65</v>
      </c>
      <c r="E4" t="s">
        <v>14</v>
      </c>
      <c r="F4" t="s">
        <v>26</v>
      </c>
      <c r="G4">
        <v>7.63</v>
      </c>
      <c r="H4">
        <v>7.58</v>
      </c>
      <c r="I4">
        <v>4.59</v>
      </c>
      <c r="J4">
        <v>212062</v>
      </c>
      <c r="K4">
        <f t="shared" si="0"/>
        <v>128522.42424242425</v>
      </c>
    </row>
    <row r="5" spans="1:11">
      <c r="A5" t="s">
        <v>74</v>
      </c>
      <c r="B5" t="s">
        <v>30</v>
      </c>
      <c r="C5" t="s">
        <v>31</v>
      </c>
      <c r="D5">
        <v>1</v>
      </c>
      <c r="E5" t="s">
        <v>20</v>
      </c>
      <c r="F5" t="s">
        <v>32</v>
      </c>
      <c r="G5">
        <v>6.31</v>
      </c>
      <c r="H5">
        <v>6.19</v>
      </c>
      <c r="I5">
        <v>3.99</v>
      </c>
      <c r="J5">
        <v>117600</v>
      </c>
      <c r="K5">
        <f t="shared" si="0"/>
        <v>117600</v>
      </c>
    </row>
    <row r="6" spans="1:11">
      <c r="A6" t="s">
        <v>75</v>
      </c>
      <c r="B6" t="s">
        <v>34</v>
      </c>
      <c r="C6" t="s">
        <v>31</v>
      </c>
      <c r="D6">
        <v>0.26</v>
      </c>
      <c r="E6" t="s">
        <v>35</v>
      </c>
      <c r="F6" t="s">
        <v>21</v>
      </c>
      <c r="G6">
        <v>4.08</v>
      </c>
      <c r="H6">
        <v>4.04</v>
      </c>
      <c r="I6">
        <v>2.57</v>
      </c>
      <c r="J6">
        <v>11250</v>
      </c>
      <c r="K6">
        <f t="shared" si="0"/>
        <v>43269.230769230766</v>
      </c>
    </row>
    <row r="7" spans="1:11">
      <c r="A7" t="s">
        <v>76</v>
      </c>
      <c r="B7" t="s">
        <v>38</v>
      </c>
      <c r="C7" t="s">
        <v>31</v>
      </c>
      <c r="D7">
        <v>1.51</v>
      </c>
      <c r="E7" t="s">
        <v>20</v>
      </c>
      <c r="F7" t="s">
        <v>21</v>
      </c>
      <c r="G7">
        <v>7.25</v>
      </c>
      <c r="H7">
        <v>7.29</v>
      </c>
      <c r="I7">
        <v>4.49</v>
      </c>
      <c r="J7">
        <v>181519</v>
      </c>
      <c r="K7">
        <f t="shared" si="0"/>
        <v>120211.25827814569</v>
      </c>
    </row>
    <row r="8" spans="1:11">
      <c r="A8" t="s">
        <v>77</v>
      </c>
      <c r="B8" t="s">
        <v>39</v>
      </c>
      <c r="C8" t="s">
        <v>40</v>
      </c>
      <c r="D8">
        <v>1.01</v>
      </c>
      <c r="E8" t="s">
        <v>20</v>
      </c>
      <c r="F8" t="s">
        <v>32</v>
      </c>
      <c r="G8">
        <v>6.23</v>
      </c>
      <c r="H8">
        <v>6.28</v>
      </c>
      <c r="I8">
        <v>4.0199999999999996</v>
      </c>
      <c r="J8">
        <v>100856</v>
      </c>
      <c r="K8">
        <f t="shared" si="0"/>
        <v>99857.425742574254</v>
      </c>
    </row>
    <row r="9" spans="1:11">
      <c r="A9" t="s">
        <v>78</v>
      </c>
      <c r="B9" t="s">
        <v>41</v>
      </c>
      <c r="C9" t="s">
        <v>40</v>
      </c>
      <c r="D9">
        <v>1.01</v>
      </c>
      <c r="E9" t="s">
        <v>42</v>
      </c>
      <c r="F9" t="s">
        <v>32</v>
      </c>
      <c r="G9">
        <v>6.39</v>
      </c>
      <c r="H9">
        <v>6.43</v>
      </c>
      <c r="I9">
        <v>3.99</v>
      </c>
      <c r="J9">
        <v>87488</v>
      </c>
      <c r="K9">
        <f t="shared" si="0"/>
        <v>86621.782178217822</v>
      </c>
    </row>
    <row r="10" spans="1:11">
      <c r="A10" t="s">
        <v>79</v>
      </c>
      <c r="B10" t="s">
        <v>43</v>
      </c>
      <c r="C10" t="s">
        <v>44</v>
      </c>
      <c r="D10">
        <v>2.17</v>
      </c>
      <c r="E10" t="s">
        <v>14</v>
      </c>
      <c r="F10" t="s">
        <v>26</v>
      </c>
      <c r="G10">
        <v>8.2799999999999994</v>
      </c>
      <c r="H10">
        <v>8.34</v>
      </c>
      <c r="I10">
        <v>5.17</v>
      </c>
      <c r="J10">
        <v>308850</v>
      </c>
      <c r="K10">
        <f t="shared" si="0"/>
        <v>142327.18894009216</v>
      </c>
    </row>
    <row r="11" spans="1:11">
      <c r="A11" t="s">
        <v>80</v>
      </c>
      <c r="B11" t="s">
        <v>45</v>
      </c>
      <c r="C11" t="s">
        <v>46</v>
      </c>
      <c r="D11">
        <v>0.23</v>
      </c>
      <c r="E11" t="s">
        <v>20</v>
      </c>
      <c r="F11" t="s">
        <v>32</v>
      </c>
      <c r="G11">
        <v>3.87</v>
      </c>
      <c r="H11">
        <v>3.9</v>
      </c>
      <c r="I11">
        <v>2.5</v>
      </c>
      <c r="J11">
        <v>8850</v>
      </c>
      <c r="K11">
        <f t="shared" si="0"/>
        <v>38478.260869565216</v>
      </c>
    </row>
    <row r="12" spans="1:11">
      <c r="A12" t="s">
        <v>81</v>
      </c>
      <c r="B12" t="s">
        <v>12</v>
      </c>
      <c r="C12" t="s">
        <v>13</v>
      </c>
      <c r="D12">
        <v>0.5</v>
      </c>
      <c r="E12" t="s">
        <v>35</v>
      </c>
      <c r="F12" t="s">
        <v>49</v>
      </c>
      <c r="G12">
        <v>4.9800000000000004</v>
      </c>
      <c r="H12">
        <v>5.0199999999999996</v>
      </c>
      <c r="I12">
        <v>3.15</v>
      </c>
      <c r="J12">
        <v>33581</v>
      </c>
      <c r="K12">
        <f t="shared" si="0"/>
        <v>67162</v>
      </c>
    </row>
    <row r="13" spans="1:11">
      <c r="A13" t="s">
        <v>82</v>
      </c>
      <c r="B13" t="s">
        <v>19</v>
      </c>
      <c r="C13" t="s">
        <v>13</v>
      </c>
      <c r="D13">
        <v>1</v>
      </c>
      <c r="E13" t="s">
        <v>51</v>
      </c>
      <c r="F13" t="s">
        <v>26</v>
      </c>
      <c r="G13">
        <v>6.24</v>
      </c>
      <c r="H13">
        <v>6.2</v>
      </c>
      <c r="I13">
        <v>4.0999999999999996</v>
      </c>
      <c r="J13">
        <v>88200</v>
      </c>
      <c r="K13">
        <f t="shared" si="0"/>
        <v>88200</v>
      </c>
    </row>
    <row r="14" spans="1:11">
      <c r="A14" t="s">
        <v>83</v>
      </c>
      <c r="B14" t="s">
        <v>25</v>
      </c>
      <c r="C14" t="s">
        <v>13</v>
      </c>
      <c r="D14">
        <v>0.72</v>
      </c>
      <c r="E14" t="s">
        <v>35</v>
      </c>
      <c r="F14" t="s">
        <v>15</v>
      </c>
      <c r="G14">
        <v>5.69</v>
      </c>
      <c r="H14">
        <v>5.72</v>
      </c>
      <c r="I14">
        <v>3.61</v>
      </c>
      <c r="J14">
        <v>54956</v>
      </c>
      <c r="K14">
        <f t="shared" si="0"/>
        <v>76327.777777777781</v>
      </c>
    </row>
    <row r="15" spans="1:11">
      <c r="A15" t="s">
        <v>84</v>
      </c>
      <c r="B15" t="s">
        <v>30</v>
      </c>
      <c r="C15" t="s">
        <v>31</v>
      </c>
      <c r="D15">
        <v>1</v>
      </c>
      <c r="E15" t="s">
        <v>51</v>
      </c>
      <c r="F15" t="s">
        <v>32</v>
      </c>
      <c r="G15">
        <v>6.27</v>
      </c>
      <c r="H15">
        <v>6.06</v>
      </c>
      <c r="I15">
        <v>4.09</v>
      </c>
      <c r="J15">
        <v>77625</v>
      </c>
      <c r="K15">
        <f t="shared" si="0"/>
        <v>77625</v>
      </c>
    </row>
    <row r="16" spans="1:11">
      <c r="A16" t="s">
        <v>85</v>
      </c>
      <c r="B16" t="s">
        <v>34</v>
      </c>
      <c r="C16" t="s">
        <v>31</v>
      </c>
      <c r="D16">
        <v>1.01</v>
      </c>
      <c r="E16" t="s">
        <v>35</v>
      </c>
      <c r="F16" t="s">
        <v>21</v>
      </c>
      <c r="G16">
        <v>6.53</v>
      </c>
      <c r="H16">
        <v>6.57</v>
      </c>
      <c r="I16">
        <v>3.99</v>
      </c>
      <c r="J16">
        <v>106631</v>
      </c>
      <c r="K16">
        <f t="shared" si="0"/>
        <v>105575.24752475247</v>
      </c>
    </row>
    <row r="17" spans="1:11">
      <c r="A17" t="s">
        <v>86</v>
      </c>
      <c r="B17" t="s">
        <v>38</v>
      </c>
      <c r="C17" t="s">
        <v>31</v>
      </c>
      <c r="D17">
        <v>0.35</v>
      </c>
      <c r="E17" t="s">
        <v>14</v>
      </c>
      <c r="F17" t="s">
        <v>32</v>
      </c>
      <c r="G17">
        <v>4.5599999999999996</v>
      </c>
      <c r="H17">
        <v>4.54</v>
      </c>
      <c r="I17">
        <v>2.77</v>
      </c>
      <c r="J17">
        <v>18450</v>
      </c>
      <c r="K17">
        <f t="shared" si="0"/>
        <v>52714.285714285717</v>
      </c>
    </row>
    <row r="18" spans="1:11">
      <c r="A18" t="s">
        <v>87</v>
      </c>
      <c r="B18" t="s">
        <v>39</v>
      </c>
      <c r="C18" t="s">
        <v>40</v>
      </c>
      <c r="D18">
        <v>0.23</v>
      </c>
      <c r="E18" t="s">
        <v>35</v>
      </c>
      <c r="F18" t="s">
        <v>32</v>
      </c>
      <c r="G18">
        <v>3.91</v>
      </c>
      <c r="H18">
        <v>3.94</v>
      </c>
      <c r="I18">
        <v>2.39</v>
      </c>
      <c r="J18">
        <v>9469</v>
      </c>
      <c r="K18">
        <f t="shared" si="0"/>
        <v>41169.565217391304</v>
      </c>
    </row>
    <row r="19" spans="1:11">
      <c r="A19" t="s">
        <v>88</v>
      </c>
      <c r="B19" t="s">
        <v>41</v>
      </c>
      <c r="C19" t="s">
        <v>40</v>
      </c>
      <c r="D19">
        <v>0.56999999999999995</v>
      </c>
      <c r="E19" t="s">
        <v>42</v>
      </c>
      <c r="F19" t="s">
        <v>54</v>
      </c>
      <c r="G19">
        <v>5.33</v>
      </c>
      <c r="H19">
        <v>5.35</v>
      </c>
      <c r="I19">
        <v>3.29</v>
      </c>
      <c r="J19">
        <v>25406</v>
      </c>
      <c r="K19">
        <f t="shared" si="0"/>
        <v>44571.929824561405</v>
      </c>
    </row>
    <row r="20" spans="1:11">
      <c r="A20" t="s">
        <v>89</v>
      </c>
      <c r="B20" t="s">
        <v>43</v>
      </c>
      <c r="C20" t="s">
        <v>44</v>
      </c>
      <c r="D20">
        <v>2.0099999999999998</v>
      </c>
      <c r="E20" t="s">
        <v>35</v>
      </c>
      <c r="F20" t="s">
        <v>32</v>
      </c>
      <c r="G20">
        <v>8.11</v>
      </c>
      <c r="H20">
        <v>8.25</v>
      </c>
      <c r="I20">
        <v>4.96</v>
      </c>
      <c r="J20">
        <v>320962</v>
      </c>
      <c r="K20">
        <f t="shared" si="0"/>
        <v>159682.58706467663</v>
      </c>
    </row>
    <row r="21" spans="1:11">
      <c r="A21" t="s">
        <v>90</v>
      </c>
      <c r="B21" t="s">
        <v>45</v>
      </c>
      <c r="C21" t="s">
        <v>46</v>
      </c>
      <c r="D21">
        <v>0.64</v>
      </c>
      <c r="E21" t="s">
        <v>42</v>
      </c>
      <c r="F21" t="s">
        <v>26</v>
      </c>
      <c r="G21">
        <v>5.52</v>
      </c>
      <c r="H21">
        <v>5.49</v>
      </c>
      <c r="I21">
        <v>3.42</v>
      </c>
      <c r="J21">
        <v>37331</v>
      </c>
      <c r="K21">
        <f t="shared" si="0"/>
        <v>58329.6875</v>
      </c>
    </row>
    <row r="22" spans="1:11">
      <c r="A22" t="s">
        <v>91</v>
      </c>
      <c r="B22" t="s">
        <v>12</v>
      </c>
      <c r="C22" t="s">
        <v>13</v>
      </c>
      <c r="D22">
        <v>0.3</v>
      </c>
      <c r="E22" t="s">
        <v>20</v>
      </c>
      <c r="F22" t="s">
        <v>21</v>
      </c>
      <c r="G22">
        <v>4.22</v>
      </c>
      <c r="H22">
        <v>4.25</v>
      </c>
      <c r="I22">
        <v>2.68</v>
      </c>
      <c r="J22">
        <v>9862</v>
      </c>
      <c r="K22">
        <f t="shared" si="0"/>
        <v>32873.333333333336</v>
      </c>
    </row>
    <row r="23" spans="1:11">
      <c r="A23" t="s">
        <v>92</v>
      </c>
      <c r="B23" t="s">
        <v>19</v>
      </c>
      <c r="C23" t="s">
        <v>13</v>
      </c>
      <c r="D23">
        <v>0.76</v>
      </c>
      <c r="E23" t="s">
        <v>42</v>
      </c>
      <c r="F23" t="s">
        <v>32</v>
      </c>
      <c r="G23">
        <v>5.83</v>
      </c>
      <c r="H23">
        <v>5.87</v>
      </c>
      <c r="I23">
        <v>3.63</v>
      </c>
      <c r="J23">
        <v>64331</v>
      </c>
      <c r="K23">
        <f t="shared" si="0"/>
        <v>84646.052631578947</v>
      </c>
    </row>
    <row r="24" spans="1:11">
      <c r="A24" t="s">
        <v>93</v>
      </c>
      <c r="B24" t="s">
        <v>25</v>
      </c>
      <c r="C24" t="s">
        <v>13</v>
      </c>
      <c r="D24">
        <v>0.9</v>
      </c>
      <c r="E24" t="s">
        <v>20</v>
      </c>
      <c r="F24" t="s">
        <v>21</v>
      </c>
      <c r="G24">
        <v>6.15</v>
      </c>
      <c r="H24">
        <v>6.24</v>
      </c>
      <c r="I24">
        <v>3.81</v>
      </c>
      <c r="J24">
        <v>77925</v>
      </c>
      <c r="K24">
        <f t="shared" si="0"/>
        <v>86583.333333333328</v>
      </c>
    </row>
    <row r="25" spans="1:11">
      <c r="A25" t="s">
        <v>94</v>
      </c>
      <c r="B25" t="s">
        <v>30</v>
      </c>
      <c r="C25" t="s">
        <v>31</v>
      </c>
      <c r="D25">
        <v>0.31</v>
      </c>
      <c r="E25" t="s">
        <v>20</v>
      </c>
      <c r="F25" t="s">
        <v>32</v>
      </c>
      <c r="G25">
        <v>4.33</v>
      </c>
      <c r="H25">
        <v>4.3600000000000003</v>
      </c>
      <c r="I25">
        <v>2.75</v>
      </c>
      <c r="J25">
        <v>10200</v>
      </c>
      <c r="K25">
        <f t="shared" si="0"/>
        <v>32903.225806451614</v>
      </c>
    </row>
    <row r="26" spans="1:11">
      <c r="A26" t="s">
        <v>95</v>
      </c>
      <c r="B26" t="s">
        <v>34</v>
      </c>
      <c r="C26" t="s">
        <v>31</v>
      </c>
      <c r="D26">
        <v>1.2</v>
      </c>
      <c r="E26" t="s">
        <v>42</v>
      </c>
      <c r="F26" t="s">
        <v>21</v>
      </c>
      <c r="G26">
        <v>6.78</v>
      </c>
      <c r="H26">
        <v>6.86</v>
      </c>
      <c r="I26">
        <v>4.25</v>
      </c>
      <c r="J26">
        <v>145650</v>
      </c>
      <c r="K26">
        <f t="shared" si="0"/>
        <v>121375</v>
      </c>
    </row>
    <row r="27" spans="1:11">
      <c r="A27" t="s">
        <v>96</v>
      </c>
      <c r="B27" t="s">
        <v>38</v>
      </c>
      <c r="C27" t="s">
        <v>31</v>
      </c>
      <c r="D27">
        <v>0.4</v>
      </c>
      <c r="E27" t="s">
        <v>42</v>
      </c>
      <c r="F27" t="s">
        <v>15</v>
      </c>
      <c r="G27">
        <v>4.78</v>
      </c>
      <c r="H27">
        <v>4.75</v>
      </c>
      <c r="I27">
        <v>2.92</v>
      </c>
      <c r="J27">
        <v>24806</v>
      </c>
      <c r="K27">
        <f t="shared" si="0"/>
        <v>62015</v>
      </c>
    </row>
    <row r="28" spans="1:11">
      <c r="A28" t="s">
        <v>97</v>
      </c>
      <c r="B28" t="s">
        <v>39</v>
      </c>
      <c r="C28" t="s">
        <v>40</v>
      </c>
      <c r="D28">
        <v>0.86</v>
      </c>
      <c r="E28" t="s">
        <v>20</v>
      </c>
      <c r="F28" t="s">
        <v>49</v>
      </c>
      <c r="G28">
        <v>6.06</v>
      </c>
      <c r="H28">
        <v>6.1</v>
      </c>
      <c r="I28">
        <v>3.84</v>
      </c>
      <c r="J28">
        <v>49631</v>
      </c>
      <c r="K28">
        <f t="shared" si="0"/>
        <v>57710.465116279069</v>
      </c>
    </row>
    <row r="29" spans="1:11">
      <c r="A29" t="s">
        <v>98</v>
      </c>
      <c r="B29" t="s">
        <v>41</v>
      </c>
      <c r="C29" t="s">
        <v>40</v>
      </c>
      <c r="D29">
        <v>0.9</v>
      </c>
      <c r="E29" t="s">
        <v>20</v>
      </c>
      <c r="F29" t="s">
        <v>49</v>
      </c>
      <c r="G29">
        <v>6.11</v>
      </c>
      <c r="H29">
        <v>6.15</v>
      </c>
      <c r="I29">
        <v>3.87</v>
      </c>
      <c r="J29">
        <v>70012</v>
      </c>
      <c r="K29">
        <f t="shared" si="0"/>
        <v>77791.111111111109</v>
      </c>
    </row>
    <row r="30" spans="1:11">
      <c r="A30" t="s">
        <v>99</v>
      </c>
      <c r="B30" t="s">
        <v>43</v>
      </c>
      <c r="C30" t="s">
        <v>44</v>
      </c>
      <c r="D30">
        <v>0.93</v>
      </c>
      <c r="E30" t="s">
        <v>20</v>
      </c>
      <c r="F30" t="s">
        <v>15</v>
      </c>
      <c r="G30">
        <v>6.19</v>
      </c>
      <c r="H30">
        <v>6.24</v>
      </c>
      <c r="I30">
        <v>3.94</v>
      </c>
      <c r="J30">
        <v>73050</v>
      </c>
      <c r="K30">
        <f t="shared" si="0"/>
        <v>78548.387096774182</v>
      </c>
    </row>
    <row r="31" spans="1:11">
      <c r="A31" t="s">
        <v>100</v>
      </c>
      <c r="B31" t="s">
        <v>45</v>
      </c>
      <c r="C31" t="s">
        <v>46</v>
      </c>
      <c r="D31">
        <v>0.92</v>
      </c>
      <c r="E31" t="s">
        <v>51</v>
      </c>
      <c r="F31" t="s">
        <v>15</v>
      </c>
      <c r="G31">
        <v>6.12</v>
      </c>
      <c r="H31">
        <v>6.07</v>
      </c>
      <c r="I31">
        <v>3.97</v>
      </c>
      <c r="J31">
        <v>61538</v>
      </c>
      <c r="K31">
        <f t="shared" si="0"/>
        <v>66889.130434782608</v>
      </c>
    </row>
    <row r="32" spans="1:11">
      <c r="A32" t="s">
        <v>101</v>
      </c>
      <c r="B32" t="s">
        <v>12</v>
      </c>
      <c r="C32" t="s">
        <v>13</v>
      </c>
      <c r="D32">
        <v>2.52</v>
      </c>
      <c r="E32" t="s">
        <v>35</v>
      </c>
      <c r="F32" t="s">
        <v>49</v>
      </c>
      <c r="G32">
        <v>8.65</v>
      </c>
      <c r="H32">
        <v>8.61</v>
      </c>
      <c r="I32">
        <v>5.45</v>
      </c>
      <c r="J32">
        <v>331669</v>
      </c>
      <c r="K32">
        <f t="shared" si="0"/>
        <v>131614.68253968254</v>
      </c>
    </row>
    <row r="33" spans="1:11">
      <c r="A33" t="s">
        <v>102</v>
      </c>
      <c r="B33" t="s">
        <v>19</v>
      </c>
      <c r="C33" t="s">
        <v>13</v>
      </c>
      <c r="D33">
        <v>0.23</v>
      </c>
      <c r="E33" t="s">
        <v>35</v>
      </c>
      <c r="F33" t="s">
        <v>32</v>
      </c>
      <c r="G33">
        <v>3.92</v>
      </c>
      <c r="H33">
        <v>3.95</v>
      </c>
      <c r="I33">
        <v>2.38</v>
      </c>
      <c r="J33">
        <v>7538</v>
      </c>
      <c r="K33">
        <f t="shared" si="0"/>
        <v>32773.913043478256</v>
      </c>
    </row>
    <row r="34" spans="1:11">
      <c r="A34" t="s">
        <v>103</v>
      </c>
      <c r="B34" t="s">
        <v>25</v>
      </c>
      <c r="C34" t="s">
        <v>13</v>
      </c>
      <c r="D34">
        <v>0.7</v>
      </c>
      <c r="E34" t="s">
        <v>35</v>
      </c>
      <c r="F34" t="s">
        <v>21</v>
      </c>
      <c r="G34">
        <v>5.64</v>
      </c>
      <c r="H34">
        <v>5.73</v>
      </c>
      <c r="I34">
        <v>3.56</v>
      </c>
      <c r="J34">
        <v>46538</v>
      </c>
      <c r="K34">
        <f t="shared" ref="K34:K65" si="1">J34/D34</f>
        <v>66482.857142857145</v>
      </c>
    </row>
    <row r="35" spans="1:11">
      <c r="A35" t="s">
        <v>104</v>
      </c>
      <c r="B35" t="s">
        <v>30</v>
      </c>
      <c r="C35" t="s">
        <v>31</v>
      </c>
      <c r="D35">
        <v>1.06</v>
      </c>
      <c r="E35" t="s">
        <v>14</v>
      </c>
      <c r="F35" t="s">
        <v>15</v>
      </c>
      <c r="G35">
        <v>6.6</v>
      </c>
      <c r="H35">
        <v>6.65</v>
      </c>
      <c r="I35">
        <v>4.04</v>
      </c>
      <c r="J35">
        <v>96412</v>
      </c>
      <c r="K35">
        <f t="shared" si="1"/>
        <v>90954.716981132064</v>
      </c>
    </row>
    <row r="36" spans="1:11">
      <c r="A36" t="s">
        <v>105</v>
      </c>
      <c r="B36" t="s">
        <v>34</v>
      </c>
      <c r="C36" t="s">
        <v>31</v>
      </c>
      <c r="D36">
        <v>0.51</v>
      </c>
      <c r="E36" t="s">
        <v>14</v>
      </c>
      <c r="F36" t="s">
        <v>26</v>
      </c>
      <c r="G36">
        <v>5.18</v>
      </c>
      <c r="H36">
        <v>5.14</v>
      </c>
      <c r="I36">
        <v>3.14</v>
      </c>
      <c r="J36">
        <v>32175</v>
      </c>
      <c r="K36">
        <f t="shared" si="1"/>
        <v>63088.235294117643</v>
      </c>
    </row>
    <row r="37" spans="1:11">
      <c r="A37" t="s">
        <v>106</v>
      </c>
      <c r="B37" t="s">
        <v>38</v>
      </c>
      <c r="C37" t="s">
        <v>31</v>
      </c>
      <c r="D37">
        <v>0.7</v>
      </c>
      <c r="E37" t="s">
        <v>20</v>
      </c>
      <c r="F37" t="s">
        <v>49</v>
      </c>
      <c r="G37">
        <v>5.57</v>
      </c>
      <c r="H37">
        <v>5.51</v>
      </c>
      <c r="I37">
        <v>3.54</v>
      </c>
      <c r="J37">
        <v>41588</v>
      </c>
      <c r="K37">
        <f t="shared" si="1"/>
        <v>59411.428571428572</v>
      </c>
    </row>
    <row r="38" spans="1:11">
      <c r="A38" t="s">
        <v>107</v>
      </c>
      <c r="B38" t="s">
        <v>39</v>
      </c>
      <c r="C38" t="s">
        <v>40</v>
      </c>
      <c r="D38">
        <v>0.91</v>
      </c>
      <c r="E38" t="s">
        <v>35</v>
      </c>
      <c r="F38" t="s">
        <v>32</v>
      </c>
      <c r="G38">
        <v>6.12</v>
      </c>
      <c r="H38">
        <v>6.17</v>
      </c>
      <c r="I38">
        <v>3.89</v>
      </c>
      <c r="J38">
        <v>78581</v>
      </c>
      <c r="K38">
        <f t="shared" si="1"/>
        <v>86352.747252747256</v>
      </c>
    </row>
    <row r="39" spans="1:11">
      <c r="A39" t="s">
        <v>108</v>
      </c>
      <c r="B39" t="s">
        <v>41</v>
      </c>
      <c r="C39" t="s">
        <v>40</v>
      </c>
      <c r="D39">
        <v>0.33</v>
      </c>
      <c r="E39" t="s">
        <v>14</v>
      </c>
      <c r="F39" t="s">
        <v>49</v>
      </c>
      <c r="G39">
        <v>4.4400000000000004</v>
      </c>
      <c r="H39">
        <v>4.41</v>
      </c>
      <c r="I39">
        <v>2.75</v>
      </c>
      <c r="J39">
        <v>13931</v>
      </c>
      <c r="K39">
        <f t="shared" si="1"/>
        <v>42215.151515151512</v>
      </c>
    </row>
    <row r="40" spans="1:11">
      <c r="A40" t="s">
        <v>109</v>
      </c>
      <c r="B40" t="s">
        <v>43</v>
      </c>
      <c r="C40" t="s">
        <v>44</v>
      </c>
      <c r="D40">
        <v>1</v>
      </c>
      <c r="E40" t="s">
        <v>51</v>
      </c>
      <c r="F40" t="s">
        <v>21</v>
      </c>
      <c r="G40">
        <v>6.08</v>
      </c>
      <c r="H40">
        <v>6.02</v>
      </c>
      <c r="I40">
        <v>4.0999999999999996</v>
      </c>
      <c r="J40">
        <v>47438</v>
      </c>
      <c r="K40">
        <f t="shared" si="1"/>
        <v>47438</v>
      </c>
    </row>
    <row r="41" spans="1:11">
      <c r="A41" t="s">
        <v>110</v>
      </c>
      <c r="B41" t="s">
        <v>45</v>
      </c>
      <c r="C41" t="s">
        <v>46</v>
      </c>
      <c r="D41">
        <v>1</v>
      </c>
      <c r="E41" t="s">
        <v>51</v>
      </c>
      <c r="F41" t="s">
        <v>32</v>
      </c>
      <c r="G41">
        <v>6.57</v>
      </c>
      <c r="H41">
        <v>6.64</v>
      </c>
      <c r="I41">
        <v>3.79</v>
      </c>
      <c r="J41">
        <v>117525</v>
      </c>
      <c r="K41">
        <f t="shared" si="1"/>
        <v>117525</v>
      </c>
    </row>
    <row r="42" spans="1:11">
      <c r="A42" t="s">
        <v>111</v>
      </c>
      <c r="B42" t="s">
        <v>12</v>
      </c>
      <c r="C42" t="s">
        <v>13</v>
      </c>
      <c r="D42">
        <v>0.27</v>
      </c>
      <c r="E42" t="s">
        <v>42</v>
      </c>
      <c r="F42" t="s">
        <v>32</v>
      </c>
      <c r="G42">
        <v>4.0999999999999996</v>
      </c>
      <c r="H42">
        <v>4.13</v>
      </c>
      <c r="I42">
        <v>2.57</v>
      </c>
      <c r="J42">
        <v>11662</v>
      </c>
      <c r="K42">
        <f t="shared" si="1"/>
        <v>43192.592592592591</v>
      </c>
    </row>
    <row r="43" spans="1:11">
      <c r="A43" t="s">
        <v>112</v>
      </c>
      <c r="B43" t="s">
        <v>19</v>
      </c>
      <c r="C43" t="s">
        <v>13</v>
      </c>
      <c r="D43">
        <v>0.3</v>
      </c>
      <c r="E43" t="s">
        <v>42</v>
      </c>
      <c r="F43" t="s">
        <v>15</v>
      </c>
      <c r="G43">
        <v>4.33</v>
      </c>
      <c r="H43">
        <v>4.37</v>
      </c>
      <c r="I43">
        <v>2.67</v>
      </c>
      <c r="J43">
        <v>19519</v>
      </c>
      <c r="K43">
        <f t="shared" si="1"/>
        <v>65063.333333333336</v>
      </c>
    </row>
    <row r="44" spans="1:11">
      <c r="A44" t="s">
        <v>113</v>
      </c>
      <c r="B44" t="s">
        <v>25</v>
      </c>
      <c r="C44" t="s">
        <v>13</v>
      </c>
      <c r="D44">
        <v>2.0099999999999998</v>
      </c>
      <c r="E44" t="s">
        <v>51</v>
      </c>
      <c r="F44" t="s">
        <v>49</v>
      </c>
      <c r="G44">
        <v>7.53</v>
      </c>
      <c r="H44">
        <v>7.5</v>
      </c>
      <c r="I44">
        <v>5.27</v>
      </c>
      <c r="J44">
        <v>118406</v>
      </c>
      <c r="K44">
        <f t="shared" si="1"/>
        <v>58908.457711442796</v>
      </c>
    </row>
    <row r="45" spans="1:11">
      <c r="A45" t="s">
        <v>114</v>
      </c>
      <c r="B45" t="s">
        <v>30</v>
      </c>
      <c r="C45" t="s">
        <v>31</v>
      </c>
      <c r="D45">
        <v>0.57999999999999996</v>
      </c>
      <c r="E45" t="s">
        <v>35</v>
      </c>
      <c r="F45" t="s">
        <v>15</v>
      </c>
      <c r="G45">
        <v>5.44</v>
      </c>
      <c r="H45">
        <v>5.42</v>
      </c>
      <c r="I45">
        <v>3.26</v>
      </c>
      <c r="J45">
        <v>41269</v>
      </c>
      <c r="K45">
        <f t="shared" si="1"/>
        <v>71153.448275862072</v>
      </c>
    </row>
    <row r="46" spans="1:11">
      <c r="A46" t="s">
        <v>115</v>
      </c>
      <c r="B46" t="s">
        <v>34</v>
      </c>
      <c r="C46" t="s">
        <v>31</v>
      </c>
      <c r="D46">
        <v>1.01</v>
      </c>
      <c r="E46" t="s">
        <v>51</v>
      </c>
      <c r="F46" t="s">
        <v>15</v>
      </c>
      <c r="G46">
        <v>6.14</v>
      </c>
      <c r="H46">
        <v>6.05</v>
      </c>
      <c r="I46">
        <v>4.0599999999999996</v>
      </c>
      <c r="J46">
        <v>67444</v>
      </c>
      <c r="K46">
        <f t="shared" si="1"/>
        <v>66776.237623762368</v>
      </c>
    </row>
    <row r="47" spans="1:11">
      <c r="A47" t="s">
        <v>116</v>
      </c>
      <c r="B47" t="s">
        <v>38</v>
      </c>
      <c r="C47" t="s">
        <v>31</v>
      </c>
      <c r="D47">
        <v>0.71</v>
      </c>
      <c r="E47" t="s">
        <v>14</v>
      </c>
      <c r="F47" t="s">
        <v>26</v>
      </c>
      <c r="G47">
        <v>5.79</v>
      </c>
      <c r="H47">
        <v>5.75</v>
      </c>
      <c r="I47">
        <v>3.54</v>
      </c>
      <c r="J47">
        <v>53681</v>
      </c>
      <c r="K47">
        <f t="shared" si="1"/>
        <v>75607.042253521126</v>
      </c>
    </row>
    <row r="48" spans="1:11">
      <c r="A48" t="s">
        <v>117</v>
      </c>
      <c r="B48" t="s">
        <v>39</v>
      </c>
      <c r="C48" t="s">
        <v>40</v>
      </c>
      <c r="D48">
        <v>0.47</v>
      </c>
      <c r="E48" t="s">
        <v>51</v>
      </c>
      <c r="F48" t="s">
        <v>32</v>
      </c>
      <c r="G48">
        <v>4.84</v>
      </c>
      <c r="H48">
        <v>4.6500000000000004</v>
      </c>
      <c r="I48">
        <v>3.24</v>
      </c>
      <c r="J48">
        <v>15544</v>
      </c>
      <c r="K48">
        <f t="shared" si="1"/>
        <v>33072.340425531918</v>
      </c>
    </row>
    <row r="49" spans="1:11">
      <c r="A49" t="s">
        <v>118</v>
      </c>
      <c r="B49" t="s">
        <v>41</v>
      </c>
      <c r="C49" t="s">
        <v>40</v>
      </c>
      <c r="D49">
        <v>2.02</v>
      </c>
      <c r="E49" t="s">
        <v>14</v>
      </c>
      <c r="F49" t="s">
        <v>54</v>
      </c>
      <c r="G49">
        <v>8.25</v>
      </c>
      <c r="H49">
        <v>8.2100000000000009</v>
      </c>
      <c r="I49">
        <v>4.8899999999999997</v>
      </c>
      <c r="J49">
        <v>268894</v>
      </c>
      <c r="K49">
        <f t="shared" si="1"/>
        <v>133115.84158415842</v>
      </c>
    </row>
    <row r="50" spans="1:11">
      <c r="A50" t="s">
        <v>119</v>
      </c>
      <c r="B50" t="s">
        <v>43</v>
      </c>
      <c r="C50" t="s">
        <v>44</v>
      </c>
      <c r="D50">
        <v>0.9</v>
      </c>
      <c r="E50" t="s">
        <v>51</v>
      </c>
      <c r="F50" t="s">
        <v>58</v>
      </c>
      <c r="G50">
        <v>6.08</v>
      </c>
      <c r="H50">
        <v>6.04</v>
      </c>
      <c r="I50">
        <v>3.94</v>
      </c>
      <c r="J50">
        <v>52781</v>
      </c>
      <c r="K50">
        <f t="shared" si="1"/>
        <v>58645.555555555555</v>
      </c>
    </row>
    <row r="51" spans="1:11">
      <c r="A51" t="s">
        <v>120</v>
      </c>
      <c r="B51" t="s">
        <v>45</v>
      </c>
      <c r="C51" t="s">
        <v>46</v>
      </c>
      <c r="D51">
        <v>0.72</v>
      </c>
      <c r="E51" t="s">
        <v>14</v>
      </c>
      <c r="F51" t="s">
        <v>26</v>
      </c>
      <c r="G51">
        <v>5.82</v>
      </c>
      <c r="H51">
        <v>5.79</v>
      </c>
      <c r="I51">
        <v>3.52</v>
      </c>
      <c r="J51">
        <v>60094</v>
      </c>
      <c r="K51">
        <f t="shared" si="1"/>
        <v>83463.888888888891</v>
      </c>
    </row>
    <row r="52" spans="1:11">
      <c r="A52" t="s">
        <v>121</v>
      </c>
      <c r="B52" t="s">
        <v>12</v>
      </c>
      <c r="C52" t="s">
        <v>13</v>
      </c>
      <c r="D52">
        <v>0.68</v>
      </c>
      <c r="E52" t="s">
        <v>20</v>
      </c>
      <c r="F52" t="s">
        <v>49</v>
      </c>
      <c r="G52">
        <v>5.63</v>
      </c>
      <c r="H52">
        <v>5.68</v>
      </c>
      <c r="I52">
        <v>3.5</v>
      </c>
      <c r="J52">
        <v>60469</v>
      </c>
      <c r="K52">
        <f t="shared" si="1"/>
        <v>88925</v>
      </c>
    </row>
    <row r="53" spans="1:11">
      <c r="A53" t="s">
        <v>122</v>
      </c>
      <c r="B53" t="s">
        <v>19</v>
      </c>
      <c r="C53" t="s">
        <v>13</v>
      </c>
      <c r="D53">
        <v>2.0699999999999998</v>
      </c>
      <c r="E53" t="s">
        <v>35</v>
      </c>
      <c r="F53" t="s">
        <v>54</v>
      </c>
      <c r="G53">
        <v>8.11</v>
      </c>
      <c r="H53">
        <v>8.02</v>
      </c>
      <c r="I53">
        <v>5.09</v>
      </c>
      <c r="J53">
        <v>295331</v>
      </c>
      <c r="K53">
        <f t="shared" si="1"/>
        <v>142671.9806763285</v>
      </c>
    </row>
    <row r="54" spans="1:11">
      <c r="A54" t="s">
        <v>123</v>
      </c>
      <c r="B54" t="s">
        <v>25</v>
      </c>
      <c r="C54" t="s">
        <v>13</v>
      </c>
      <c r="D54">
        <v>0.71</v>
      </c>
      <c r="E54" t="s">
        <v>42</v>
      </c>
      <c r="F54" t="s">
        <v>54</v>
      </c>
      <c r="G54">
        <v>5.72</v>
      </c>
      <c r="H54">
        <v>5.76</v>
      </c>
      <c r="I54">
        <v>3.56</v>
      </c>
      <c r="J54">
        <v>44756</v>
      </c>
      <c r="K54">
        <f t="shared" si="1"/>
        <v>63036.619718309863</v>
      </c>
    </row>
    <row r="55" spans="1:11">
      <c r="A55" t="s">
        <v>124</v>
      </c>
      <c r="B55" t="s">
        <v>30</v>
      </c>
      <c r="C55" t="s">
        <v>31</v>
      </c>
      <c r="D55">
        <v>1</v>
      </c>
      <c r="E55" t="s">
        <v>35</v>
      </c>
      <c r="F55" t="s">
        <v>49</v>
      </c>
      <c r="G55">
        <v>6.41</v>
      </c>
      <c r="H55">
        <v>6.45</v>
      </c>
      <c r="I55">
        <v>3.88</v>
      </c>
      <c r="J55">
        <v>134306</v>
      </c>
      <c r="K55">
        <f t="shared" si="1"/>
        <v>134306</v>
      </c>
    </row>
    <row r="56" spans="1:11">
      <c r="A56" t="s">
        <v>125</v>
      </c>
      <c r="B56" t="s">
        <v>34</v>
      </c>
      <c r="C56" t="s">
        <v>31</v>
      </c>
      <c r="D56">
        <v>0.3</v>
      </c>
      <c r="E56" t="s">
        <v>20</v>
      </c>
      <c r="F56" t="s">
        <v>54</v>
      </c>
      <c r="G56">
        <v>4.22</v>
      </c>
      <c r="H56">
        <v>4.25</v>
      </c>
      <c r="I56">
        <v>2.68</v>
      </c>
      <c r="J56">
        <v>7388</v>
      </c>
      <c r="K56">
        <f t="shared" si="1"/>
        <v>24626.666666666668</v>
      </c>
    </row>
    <row r="57" spans="1:11">
      <c r="A57" t="s">
        <v>126</v>
      </c>
      <c r="B57" t="s">
        <v>38</v>
      </c>
      <c r="C57" t="s">
        <v>31</v>
      </c>
      <c r="D57">
        <v>0.31</v>
      </c>
      <c r="E57" t="s">
        <v>42</v>
      </c>
      <c r="F57" t="s">
        <v>49</v>
      </c>
      <c r="G57">
        <v>4.3600000000000003</v>
      </c>
      <c r="H57">
        <v>4.3899999999999997</v>
      </c>
      <c r="I57">
        <v>2.72</v>
      </c>
      <c r="J57">
        <v>8175</v>
      </c>
      <c r="K57">
        <f t="shared" si="1"/>
        <v>26370.967741935485</v>
      </c>
    </row>
    <row r="58" spans="1:11">
      <c r="A58" t="s">
        <v>127</v>
      </c>
      <c r="B58" t="s">
        <v>39</v>
      </c>
      <c r="C58" t="s">
        <v>40</v>
      </c>
      <c r="D58">
        <v>0.7</v>
      </c>
      <c r="E58" t="s">
        <v>14</v>
      </c>
      <c r="F58" t="s">
        <v>49</v>
      </c>
      <c r="G58">
        <v>5.75</v>
      </c>
      <c r="H58">
        <v>5.68</v>
      </c>
      <c r="I58">
        <v>3.5</v>
      </c>
      <c r="J58">
        <v>58219</v>
      </c>
      <c r="K58">
        <f t="shared" si="1"/>
        <v>83170</v>
      </c>
    </row>
    <row r="59" spans="1:11">
      <c r="A59" t="s">
        <v>128</v>
      </c>
      <c r="B59" t="s">
        <v>41</v>
      </c>
      <c r="C59" t="s">
        <v>40</v>
      </c>
      <c r="D59">
        <v>0.53</v>
      </c>
      <c r="E59" t="s">
        <v>20</v>
      </c>
      <c r="F59" t="s">
        <v>21</v>
      </c>
      <c r="G59">
        <v>5.15</v>
      </c>
      <c r="H59">
        <v>5.12</v>
      </c>
      <c r="I59">
        <v>3.27</v>
      </c>
      <c r="J59">
        <v>23288</v>
      </c>
      <c r="K59">
        <f t="shared" si="1"/>
        <v>43939.622641509435</v>
      </c>
    </row>
    <row r="60" spans="1:11">
      <c r="A60" t="s">
        <v>129</v>
      </c>
      <c r="B60" t="s">
        <v>43</v>
      </c>
      <c r="C60" t="s">
        <v>44</v>
      </c>
      <c r="D60">
        <v>2</v>
      </c>
      <c r="E60" t="s">
        <v>51</v>
      </c>
      <c r="F60" t="s">
        <v>21</v>
      </c>
      <c r="G60">
        <v>7.86</v>
      </c>
      <c r="H60">
        <v>7.77</v>
      </c>
      <c r="I60">
        <v>5.09</v>
      </c>
      <c r="J60">
        <v>270562</v>
      </c>
      <c r="K60">
        <f t="shared" si="1"/>
        <v>135281</v>
      </c>
    </row>
    <row r="61" spans="1:11">
      <c r="A61" t="s">
        <v>130</v>
      </c>
      <c r="B61" t="s">
        <v>45</v>
      </c>
      <c r="C61" t="s">
        <v>46</v>
      </c>
      <c r="D61">
        <v>1</v>
      </c>
      <c r="E61" t="s">
        <v>35</v>
      </c>
      <c r="F61" t="s">
        <v>49</v>
      </c>
      <c r="G61">
        <v>6.46</v>
      </c>
      <c r="H61">
        <v>6.53</v>
      </c>
      <c r="I61">
        <v>3.94</v>
      </c>
      <c r="J61">
        <v>148969</v>
      </c>
      <c r="K61">
        <f t="shared" si="1"/>
        <v>148969</v>
      </c>
    </row>
    <row r="62" spans="1:11">
      <c r="A62" t="s">
        <v>131</v>
      </c>
      <c r="B62" t="s">
        <v>12</v>
      </c>
      <c r="C62" t="s">
        <v>13</v>
      </c>
      <c r="D62">
        <v>0.26</v>
      </c>
      <c r="E62" t="s">
        <v>42</v>
      </c>
      <c r="F62" t="s">
        <v>21</v>
      </c>
      <c r="G62">
        <v>4.13</v>
      </c>
      <c r="H62">
        <v>4.16</v>
      </c>
      <c r="I62">
        <v>2.5299999999999998</v>
      </c>
      <c r="J62">
        <v>10219</v>
      </c>
      <c r="K62">
        <f t="shared" si="1"/>
        <v>39303.846153846156</v>
      </c>
    </row>
    <row r="63" spans="1:11">
      <c r="A63" t="s">
        <v>132</v>
      </c>
      <c r="B63" t="s">
        <v>19</v>
      </c>
      <c r="C63" t="s">
        <v>13</v>
      </c>
      <c r="D63">
        <v>0.9</v>
      </c>
      <c r="E63" t="s">
        <v>51</v>
      </c>
      <c r="F63" t="s">
        <v>32</v>
      </c>
      <c r="G63">
        <v>6.12</v>
      </c>
      <c r="H63">
        <v>6.18</v>
      </c>
      <c r="I63">
        <v>3.99</v>
      </c>
      <c r="J63">
        <v>70181</v>
      </c>
      <c r="K63">
        <f t="shared" si="1"/>
        <v>77978.888888888891</v>
      </c>
    </row>
    <row r="64" spans="1:11">
      <c r="A64" t="s">
        <v>133</v>
      </c>
      <c r="B64" t="s">
        <v>25</v>
      </c>
      <c r="C64" t="s">
        <v>13</v>
      </c>
      <c r="D64">
        <v>0.72</v>
      </c>
      <c r="E64" t="s">
        <v>14</v>
      </c>
      <c r="F64" t="s">
        <v>58</v>
      </c>
      <c r="G64">
        <v>5.77</v>
      </c>
      <c r="H64">
        <v>5.67</v>
      </c>
      <c r="I64">
        <v>3.53</v>
      </c>
      <c r="J64">
        <v>38306</v>
      </c>
      <c r="K64">
        <f t="shared" si="1"/>
        <v>53202.777777777781</v>
      </c>
    </row>
    <row r="65" spans="1:11">
      <c r="A65" t="s">
        <v>134</v>
      </c>
      <c r="B65" t="s">
        <v>30</v>
      </c>
      <c r="C65" t="s">
        <v>31</v>
      </c>
      <c r="D65">
        <v>1.01</v>
      </c>
      <c r="E65" t="s">
        <v>51</v>
      </c>
      <c r="F65" t="s">
        <v>21</v>
      </c>
      <c r="G65">
        <v>6.3</v>
      </c>
      <c r="H65">
        <v>6.26</v>
      </c>
      <c r="I65">
        <v>4.1100000000000003</v>
      </c>
      <c r="J65">
        <v>53362</v>
      </c>
      <c r="K65">
        <f t="shared" si="1"/>
        <v>52833.66336633663</v>
      </c>
    </row>
    <row r="66" spans="1:11">
      <c r="A66" t="s">
        <v>135</v>
      </c>
      <c r="B66" t="s">
        <v>34</v>
      </c>
      <c r="C66" t="s">
        <v>31</v>
      </c>
      <c r="D66">
        <v>2.0099999999999998</v>
      </c>
      <c r="E66" t="s">
        <v>51</v>
      </c>
      <c r="F66" t="s">
        <v>54</v>
      </c>
      <c r="G66">
        <v>7.71</v>
      </c>
      <c r="H66">
        <v>7.64</v>
      </c>
      <c r="I66">
        <v>5.17</v>
      </c>
      <c r="J66">
        <v>106800</v>
      </c>
      <c r="K66">
        <f t="shared" ref="K66:K97" si="2">J66/D66</f>
        <v>53134.328358208964</v>
      </c>
    </row>
    <row r="67" spans="1:11">
      <c r="A67" t="s">
        <v>136</v>
      </c>
      <c r="B67" t="s">
        <v>38</v>
      </c>
      <c r="C67" t="s">
        <v>31</v>
      </c>
      <c r="D67">
        <v>1.05</v>
      </c>
      <c r="E67" t="s">
        <v>42</v>
      </c>
      <c r="F67" t="s">
        <v>21</v>
      </c>
      <c r="G67">
        <v>6.56</v>
      </c>
      <c r="H67">
        <v>6.49</v>
      </c>
      <c r="I67">
        <v>4.04</v>
      </c>
      <c r="J67">
        <v>85988</v>
      </c>
      <c r="K67">
        <f t="shared" si="2"/>
        <v>81893.333333333328</v>
      </c>
    </row>
    <row r="68" spans="1:11">
      <c r="A68" t="s">
        <v>137</v>
      </c>
      <c r="B68" t="s">
        <v>39</v>
      </c>
      <c r="C68" t="s">
        <v>40</v>
      </c>
      <c r="D68">
        <v>1.5</v>
      </c>
      <c r="E68" t="s">
        <v>20</v>
      </c>
      <c r="F68" t="s">
        <v>26</v>
      </c>
      <c r="G68">
        <v>7.37</v>
      </c>
      <c r="H68">
        <v>7.34</v>
      </c>
      <c r="I68">
        <v>4.43</v>
      </c>
      <c r="J68">
        <v>171994</v>
      </c>
      <c r="K68">
        <f t="shared" si="2"/>
        <v>114662.66666666667</v>
      </c>
    </row>
    <row r="69" spans="1:11">
      <c r="A69" t="s">
        <v>138</v>
      </c>
      <c r="B69" t="s">
        <v>41</v>
      </c>
      <c r="C69" t="s">
        <v>40</v>
      </c>
      <c r="D69">
        <v>0.5</v>
      </c>
      <c r="E69" t="s">
        <v>51</v>
      </c>
      <c r="F69" t="s">
        <v>21</v>
      </c>
      <c r="G69">
        <v>4.95</v>
      </c>
      <c r="H69">
        <v>4.84</v>
      </c>
      <c r="I69">
        <v>3.26</v>
      </c>
      <c r="J69">
        <v>21262</v>
      </c>
      <c r="K69">
        <f t="shared" si="2"/>
        <v>42524</v>
      </c>
    </row>
    <row r="70" spans="1:11">
      <c r="A70" t="s">
        <v>139</v>
      </c>
      <c r="B70" t="s">
        <v>43</v>
      </c>
      <c r="C70" t="s">
        <v>44</v>
      </c>
      <c r="D70">
        <v>2.0099999999999998</v>
      </c>
      <c r="E70" t="s">
        <v>20</v>
      </c>
      <c r="F70" t="s">
        <v>21</v>
      </c>
      <c r="G70">
        <v>7.89</v>
      </c>
      <c r="H70">
        <v>7.84</v>
      </c>
      <c r="I70">
        <v>5.01</v>
      </c>
      <c r="J70">
        <v>232931</v>
      </c>
      <c r="K70">
        <f t="shared" si="2"/>
        <v>115886.0696517413</v>
      </c>
    </row>
    <row r="71" spans="1:11">
      <c r="A71" t="s">
        <v>140</v>
      </c>
      <c r="B71" t="s">
        <v>45</v>
      </c>
      <c r="C71" t="s">
        <v>46</v>
      </c>
      <c r="D71">
        <v>0.9</v>
      </c>
      <c r="E71" t="s">
        <v>35</v>
      </c>
      <c r="F71" t="s">
        <v>58</v>
      </c>
      <c r="G71">
        <v>6.13</v>
      </c>
      <c r="H71">
        <v>6.18</v>
      </c>
      <c r="I71">
        <v>3.84</v>
      </c>
      <c r="J71">
        <v>68306</v>
      </c>
      <c r="K71">
        <f t="shared" si="2"/>
        <v>75895.555555555547</v>
      </c>
    </row>
    <row r="72" spans="1:11">
      <c r="A72" t="s">
        <v>141</v>
      </c>
      <c r="B72" t="s">
        <v>12</v>
      </c>
      <c r="C72" t="s">
        <v>13</v>
      </c>
      <c r="D72">
        <v>0.3</v>
      </c>
      <c r="E72" t="s">
        <v>20</v>
      </c>
      <c r="F72" t="s">
        <v>54</v>
      </c>
      <c r="G72">
        <v>4.25</v>
      </c>
      <c r="H72">
        <v>4.2300000000000004</v>
      </c>
      <c r="I72">
        <v>2.7</v>
      </c>
      <c r="J72">
        <v>11400</v>
      </c>
      <c r="K72">
        <f t="shared" si="2"/>
        <v>38000</v>
      </c>
    </row>
    <row r="73" spans="1:11">
      <c r="A73" t="s">
        <v>142</v>
      </c>
      <c r="B73" t="s">
        <v>19</v>
      </c>
      <c r="C73" t="s">
        <v>13</v>
      </c>
      <c r="D73">
        <v>0.33</v>
      </c>
      <c r="E73" t="s">
        <v>35</v>
      </c>
      <c r="F73" t="s">
        <v>58</v>
      </c>
      <c r="G73">
        <v>4.38</v>
      </c>
      <c r="H73">
        <v>4.41</v>
      </c>
      <c r="I73">
        <v>2.76</v>
      </c>
      <c r="J73">
        <v>8138</v>
      </c>
      <c r="K73">
        <f t="shared" si="2"/>
        <v>24660.60606060606</v>
      </c>
    </row>
    <row r="74" spans="1:11">
      <c r="A74" t="s">
        <v>143</v>
      </c>
      <c r="B74" t="s">
        <v>25</v>
      </c>
      <c r="C74" t="s">
        <v>13</v>
      </c>
      <c r="D74">
        <v>0.7</v>
      </c>
      <c r="E74" t="s">
        <v>14</v>
      </c>
      <c r="F74" t="s">
        <v>49</v>
      </c>
      <c r="G74">
        <v>5.69</v>
      </c>
      <c r="H74">
        <v>5.73</v>
      </c>
      <c r="I74">
        <v>3.52</v>
      </c>
      <c r="J74">
        <v>49369</v>
      </c>
      <c r="K74">
        <f t="shared" si="2"/>
        <v>70527.142857142855</v>
      </c>
    </row>
    <row r="75" spans="1:11">
      <c r="A75" t="s">
        <v>144</v>
      </c>
      <c r="B75" t="s">
        <v>30</v>
      </c>
      <c r="C75" t="s">
        <v>31</v>
      </c>
      <c r="D75">
        <v>1.32</v>
      </c>
      <c r="E75" t="s">
        <v>51</v>
      </c>
      <c r="F75" t="s">
        <v>15</v>
      </c>
      <c r="G75">
        <v>7.31</v>
      </c>
      <c r="H75">
        <v>7.28</v>
      </c>
      <c r="I75">
        <v>4.2300000000000004</v>
      </c>
      <c r="J75">
        <v>237150</v>
      </c>
      <c r="K75">
        <f t="shared" si="2"/>
        <v>179659.09090909091</v>
      </c>
    </row>
    <row r="76" spans="1:11">
      <c r="A76" t="s">
        <v>145</v>
      </c>
      <c r="B76" t="s">
        <v>34</v>
      </c>
      <c r="C76" t="s">
        <v>31</v>
      </c>
      <c r="D76">
        <v>0.56999999999999995</v>
      </c>
      <c r="E76" t="s">
        <v>42</v>
      </c>
      <c r="F76" t="s">
        <v>49</v>
      </c>
      <c r="G76">
        <v>5.33</v>
      </c>
      <c r="H76">
        <v>5.3</v>
      </c>
      <c r="I76">
        <v>3.28</v>
      </c>
      <c r="J76">
        <v>41362</v>
      </c>
      <c r="K76">
        <f t="shared" si="2"/>
        <v>72564.912280701756</v>
      </c>
    </row>
    <row r="77" spans="1:11">
      <c r="A77" t="s">
        <v>146</v>
      </c>
      <c r="B77" t="s">
        <v>38</v>
      </c>
      <c r="C77" t="s">
        <v>31</v>
      </c>
      <c r="D77">
        <v>0.9</v>
      </c>
      <c r="E77" t="s">
        <v>35</v>
      </c>
      <c r="F77" t="s">
        <v>58</v>
      </c>
      <c r="G77">
        <v>6.15</v>
      </c>
      <c r="H77">
        <v>6.19</v>
      </c>
      <c r="I77">
        <v>3.85</v>
      </c>
      <c r="J77">
        <v>64088</v>
      </c>
      <c r="K77">
        <f t="shared" si="2"/>
        <v>71208.888888888891</v>
      </c>
    </row>
    <row r="78" spans="1:11">
      <c r="A78" t="s">
        <v>147</v>
      </c>
      <c r="B78" t="s">
        <v>39</v>
      </c>
      <c r="C78" t="s">
        <v>40</v>
      </c>
      <c r="D78">
        <v>0.39</v>
      </c>
      <c r="E78" t="s">
        <v>42</v>
      </c>
      <c r="F78" t="s">
        <v>15</v>
      </c>
      <c r="G78">
        <v>4.6900000000000004</v>
      </c>
      <c r="H78">
        <v>4.71</v>
      </c>
      <c r="I78">
        <v>2.92</v>
      </c>
      <c r="J78">
        <v>21075</v>
      </c>
      <c r="K78">
        <f t="shared" si="2"/>
        <v>54038.461538461539</v>
      </c>
    </row>
    <row r="79" spans="1:11">
      <c r="A79" t="s">
        <v>148</v>
      </c>
      <c r="B79" t="s">
        <v>41</v>
      </c>
      <c r="C79" t="s">
        <v>40</v>
      </c>
      <c r="D79">
        <v>3.01</v>
      </c>
      <c r="E79" t="s">
        <v>51</v>
      </c>
      <c r="F79" t="s">
        <v>54</v>
      </c>
      <c r="G79">
        <v>8.99</v>
      </c>
      <c r="H79">
        <v>8.94</v>
      </c>
      <c r="I79">
        <v>5.9</v>
      </c>
      <c r="J79">
        <v>342038</v>
      </c>
      <c r="K79">
        <f t="shared" si="2"/>
        <v>113633.88704318937</v>
      </c>
    </row>
    <row r="80" spans="1:11">
      <c r="A80" t="s">
        <v>149</v>
      </c>
      <c r="B80" t="s">
        <v>43</v>
      </c>
      <c r="C80" t="s">
        <v>44</v>
      </c>
      <c r="D80">
        <v>1.1399999999999999</v>
      </c>
      <c r="E80" t="s">
        <v>14</v>
      </c>
      <c r="F80" t="s">
        <v>21</v>
      </c>
      <c r="G80">
        <v>6.74</v>
      </c>
      <c r="H80">
        <v>6.67</v>
      </c>
      <c r="I80">
        <v>4.1399999999999997</v>
      </c>
      <c r="J80">
        <v>111319</v>
      </c>
      <c r="K80">
        <f t="shared" si="2"/>
        <v>97648.245614035099</v>
      </c>
    </row>
    <row r="81" spans="1:11">
      <c r="A81" t="s">
        <v>150</v>
      </c>
      <c r="B81" t="s">
        <v>45</v>
      </c>
      <c r="C81" t="s">
        <v>46</v>
      </c>
      <c r="D81">
        <v>1.25</v>
      </c>
      <c r="E81" t="s">
        <v>14</v>
      </c>
      <c r="F81" t="s">
        <v>21</v>
      </c>
      <c r="G81">
        <v>6.96</v>
      </c>
      <c r="H81">
        <v>6.93</v>
      </c>
      <c r="I81">
        <v>4.26</v>
      </c>
      <c r="J81">
        <v>151856</v>
      </c>
      <c r="K81">
        <f t="shared" si="2"/>
        <v>121484.8</v>
      </c>
    </row>
    <row r="82" spans="1:11">
      <c r="A82" t="s">
        <v>151</v>
      </c>
      <c r="B82" t="s">
        <v>12</v>
      </c>
      <c r="C82" t="s">
        <v>13</v>
      </c>
      <c r="D82">
        <v>2.0099999999999998</v>
      </c>
      <c r="E82" t="s">
        <v>35</v>
      </c>
      <c r="F82" t="s">
        <v>21</v>
      </c>
      <c r="G82">
        <v>8.02</v>
      </c>
      <c r="H82">
        <v>7.97</v>
      </c>
      <c r="I82">
        <v>5.05</v>
      </c>
      <c r="J82">
        <v>265312</v>
      </c>
      <c r="K82">
        <f t="shared" si="2"/>
        <v>131996.01990049751</v>
      </c>
    </row>
    <row r="83" spans="1:11">
      <c r="A83" t="s">
        <v>152</v>
      </c>
      <c r="B83" t="s">
        <v>19</v>
      </c>
      <c r="C83" t="s">
        <v>13</v>
      </c>
      <c r="D83">
        <v>0.5</v>
      </c>
      <c r="E83" t="s">
        <v>42</v>
      </c>
      <c r="F83" t="s">
        <v>32</v>
      </c>
      <c r="G83">
        <v>5.12</v>
      </c>
      <c r="H83">
        <v>5.04</v>
      </c>
      <c r="I83">
        <v>3.19</v>
      </c>
      <c r="J83">
        <v>32738</v>
      </c>
      <c r="K83">
        <f t="shared" si="2"/>
        <v>65476</v>
      </c>
    </row>
    <row r="84" spans="1:11">
      <c r="A84" t="s">
        <v>153</v>
      </c>
      <c r="B84" t="s">
        <v>25</v>
      </c>
      <c r="C84" t="s">
        <v>13</v>
      </c>
      <c r="D84">
        <v>0.92</v>
      </c>
      <c r="E84" t="s">
        <v>14</v>
      </c>
      <c r="F84" t="s">
        <v>15</v>
      </c>
      <c r="G84">
        <v>6.23</v>
      </c>
      <c r="H84">
        <v>6.19</v>
      </c>
      <c r="I84">
        <v>3.89</v>
      </c>
      <c r="J84">
        <v>69075</v>
      </c>
      <c r="K84">
        <f t="shared" si="2"/>
        <v>75081.521739130432</v>
      </c>
    </row>
    <row r="85" spans="1:11">
      <c r="A85" t="s">
        <v>154</v>
      </c>
      <c r="B85" t="s">
        <v>30</v>
      </c>
      <c r="C85" t="s">
        <v>31</v>
      </c>
      <c r="D85">
        <v>1.02</v>
      </c>
      <c r="E85" t="s">
        <v>20</v>
      </c>
      <c r="F85" t="s">
        <v>21</v>
      </c>
      <c r="G85">
        <v>6.28</v>
      </c>
      <c r="H85">
        <v>6.24</v>
      </c>
      <c r="I85">
        <v>3.99</v>
      </c>
      <c r="J85">
        <v>72825</v>
      </c>
      <c r="K85">
        <f t="shared" si="2"/>
        <v>71397.058823529413</v>
      </c>
    </row>
    <row r="86" spans="1:11">
      <c r="A86" t="s">
        <v>155</v>
      </c>
      <c r="B86" t="s">
        <v>34</v>
      </c>
      <c r="C86" t="s">
        <v>31</v>
      </c>
      <c r="D86">
        <v>0.86</v>
      </c>
      <c r="E86" t="s">
        <v>51</v>
      </c>
      <c r="F86" t="s">
        <v>49</v>
      </c>
      <c r="G86">
        <v>5.89</v>
      </c>
      <c r="H86">
        <v>5.97</v>
      </c>
      <c r="I86">
        <v>3.94</v>
      </c>
      <c r="J86">
        <v>64088</v>
      </c>
      <c r="K86">
        <f t="shared" si="2"/>
        <v>74520.930232558138</v>
      </c>
    </row>
    <row r="87" spans="1:11">
      <c r="A87" t="s">
        <v>156</v>
      </c>
      <c r="B87" t="s">
        <v>38</v>
      </c>
      <c r="C87" t="s">
        <v>31</v>
      </c>
      <c r="D87">
        <v>0.55000000000000004</v>
      </c>
      <c r="E87" t="s">
        <v>42</v>
      </c>
      <c r="F87" t="s">
        <v>32</v>
      </c>
      <c r="G87">
        <v>5.26</v>
      </c>
      <c r="H87">
        <v>5.28</v>
      </c>
      <c r="I87">
        <v>3.25</v>
      </c>
      <c r="J87">
        <v>30394</v>
      </c>
      <c r="K87">
        <f t="shared" si="2"/>
        <v>55261.818181818177</v>
      </c>
    </row>
    <row r="88" spans="1:11">
      <c r="A88" t="s">
        <v>157</v>
      </c>
      <c r="B88" t="s">
        <v>39</v>
      </c>
      <c r="C88" t="s">
        <v>40</v>
      </c>
      <c r="D88">
        <v>0.55000000000000004</v>
      </c>
      <c r="E88" t="s">
        <v>42</v>
      </c>
      <c r="F88" t="s">
        <v>26</v>
      </c>
      <c r="G88">
        <v>5.25</v>
      </c>
      <c r="H88">
        <v>5.3</v>
      </c>
      <c r="I88">
        <v>3.25</v>
      </c>
      <c r="J88">
        <v>36094</v>
      </c>
      <c r="K88">
        <f t="shared" si="2"/>
        <v>65625.454545454544</v>
      </c>
    </row>
    <row r="89" spans="1:11">
      <c r="A89" t="s">
        <v>158</v>
      </c>
      <c r="B89" t="s">
        <v>41</v>
      </c>
      <c r="C89" t="s">
        <v>40</v>
      </c>
      <c r="D89">
        <v>0.3</v>
      </c>
      <c r="E89" t="s">
        <v>42</v>
      </c>
      <c r="F89" t="s">
        <v>15</v>
      </c>
      <c r="G89">
        <v>4.32</v>
      </c>
      <c r="H89">
        <v>4.34</v>
      </c>
      <c r="I89">
        <v>2.65</v>
      </c>
      <c r="J89">
        <v>11644</v>
      </c>
      <c r="K89">
        <f t="shared" si="2"/>
        <v>38813.333333333336</v>
      </c>
    </row>
    <row r="90" spans="1:11">
      <c r="A90" t="s">
        <v>159</v>
      </c>
      <c r="B90" t="s">
        <v>43</v>
      </c>
      <c r="C90" t="s">
        <v>44</v>
      </c>
      <c r="D90">
        <v>0.31</v>
      </c>
      <c r="E90" t="s">
        <v>35</v>
      </c>
      <c r="F90" t="s">
        <v>58</v>
      </c>
      <c r="G90">
        <v>4.4400000000000004</v>
      </c>
      <c r="H90">
        <v>4.47</v>
      </c>
      <c r="I90">
        <v>2.59</v>
      </c>
      <c r="J90">
        <v>6619</v>
      </c>
      <c r="K90">
        <f t="shared" si="2"/>
        <v>21351.612903225807</v>
      </c>
    </row>
    <row r="91" spans="1:11">
      <c r="A91" t="s">
        <v>160</v>
      </c>
      <c r="B91" t="s">
        <v>45</v>
      </c>
      <c r="C91" t="s">
        <v>46</v>
      </c>
      <c r="D91">
        <v>1.1100000000000001</v>
      </c>
      <c r="E91" t="s">
        <v>51</v>
      </c>
      <c r="F91" t="s">
        <v>58</v>
      </c>
      <c r="G91">
        <v>6.44</v>
      </c>
      <c r="H91">
        <v>6.55</v>
      </c>
      <c r="I91">
        <v>4.21</v>
      </c>
      <c r="J91">
        <v>76050</v>
      </c>
      <c r="K91">
        <f t="shared" si="2"/>
        <v>68513.513513513506</v>
      </c>
    </row>
    <row r="92" spans="1:11">
      <c r="A92" t="s">
        <v>161</v>
      </c>
      <c r="B92" t="s">
        <v>12</v>
      </c>
      <c r="C92" t="s">
        <v>13</v>
      </c>
      <c r="D92">
        <v>0.36</v>
      </c>
      <c r="E92" t="s">
        <v>35</v>
      </c>
      <c r="F92" t="s">
        <v>26</v>
      </c>
      <c r="G92">
        <v>4.5199999999999996</v>
      </c>
      <c r="H92">
        <v>4.55</v>
      </c>
      <c r="I92">
        <v>2.85</v>
      </c>
      <c r="J92">
        <v>14869</v>
      </c>
      <c r="K92">
        <f t="shared" si="2"/>
        <v>41302.777777777781</v>
      </c>
    </row>
    <row r="93" spans="1:11">
      <c r="A93" t="s">
        <v>162</v>
      </c>
      <c r="B93" t="s">
        <v>19</v>
      </c>
      <c r="C93" t="s">
        <v>13</v>
      </c>
      <c r="D93">
        <v>0.92</v>
      </c>
      <c r="E93" t="s">
        <v>51</v>
      </c>
      <c r="F93" t="s">
        <v>15</v>
      </c>
      <c r="G93">
        <v>6.1</v>
      </c>
      <c r="H93">
        <v>6.04</v>
      </c>
      <c r="I93">
        <v>3.94</v>
      </c>
      <c r="J93">
        <v>58444</v>
      </c>
      <c r="K93">
        <f t="shared" si="2"/>
        <v>63526.086956521736</v>
      </c>
    </row>
    <row r="94" spans="1:11">
      <c r="A94" t="s">
        <v>163</v>
      </c>
      <c r="B94" t="s">
        <v>25</v>
      </c>
      <c r="C94" t="s">
        <v>13</v>
      </c>
      <c r="D94">
        <v>2.06</v>
      </c>
      <c r="E94" t="s">
        <v>14</v>
      </c>
      <c r="F94" t="s">
        <v>54</v>
      </c>
      <c r="G94">
        <v>8.42</v>
      </c>
      <c r="H94">
        <v>8.35</v>
      </c>
      <c r="I94">
        <v>4.9000000000000004</v>
      </c>
      <c r="J94">
        <v>288619</v>
      </c>
      <c r="K94">
        <f t="shared" si="2"/>
        <v>140106.31067961163</v>
      </c>
    </row>
    <row r="95" spans="1:11">
      <c r="A95" t="s">
        <v>164</v>
      </c>
      <c r="B95" t="s">
        <v>30</v>
      </c>
      <c r="C95" t="s">
        <v>31</v>
      </c>
      <c r="D95">
        <v>0.5</v>
      </c>
      <c r="E95" t="s">
        <v>14</v>
      </c>
      <c r="F95" t="s">
        <v>54</v>
      </c>
      <c r="G95">
        <v>5.09</v>
      </c>
      <c r="H95">
        <v>5.15</v>
      </c>
      <c r="I95">
        <v>3.16</v>
      </c>
      <c r="J95">
        <v>18094</v>
      </c>
      <c r="K95">
        <f t="shared" si="2"/>
        <v>36188</v>
      </c>
    </row>
    <row r="96" spans="1:11">
      <c r="A96" t="s">
        <v>165</v>
      </c>
      <c r="B96" t="s">
        <v>34</v>
      </c>
      <c r="C96" t="s">
        <v>31</v>
      </c>
      <c r="D96">
        <v>0.32</v>
      </c>
      <c r="E96" t="s">
        <v>42</v>
      </c>
      <c r="F96" t="s">
        <v>21</v>
      </c>
      <c r="G96">
        <v>4.42</v>
      </c>
      <c r="H96">
        <v>4.41</v>
      </c>
      <c r="I96">
        <v>2.69</v>
      </c>
      <c r="J96">
        <v>20250</v>
      </c>
      <c r="K96">
        <f t="shared" si="2"/>
        <v>63281.25</v>
      </c>
    </row>
    <row r="97" spans="1:11">
      <c r="A97" t="s">
        <v>166</v>
      </c>
      <c r="B97" t="s">
        <v>38</v>
      </c>
      <c r="C97" t="s">
        <v>31</v>
      </c>
      <c r="D97">
        <v>0.39</v>
      </c>
      <c r="E97" t="s">
        <v>14</v>
      </c>
      <c r="F97" t="s">
        <v>58</v>
      </c>
      <c r="G97">
        <v>4.66</v>
      </c>
      <c r="H97">
        <v>4.6100000000000003</v>
      </c>
      <c r="I97">
        <v>2.91</v>
      </c>
      <c r="J97">
        <v>17269</v>
      </c>
      <c r="K97">
        <f t="shared" si="2"/>
        <v>44279.48717948718</v>
      </c>
    </row>
    <row r="98" spans="1:11">
      <c r="A98" t="s">
        <v>167</v>
      </c>
      <c r="B98" t="s">
        <v>39</v>
      </c>
      <c r="C98" t="s">
        <v>40</v>
      </c>
      <c r="D98">
        <v>0.28000000000000003</v>
      </c>
      <c r="E98" t="s">
        <v>35</v>
      </c>
      <c r="F98" t="s">
        <v>32</v>
      </c>
      <c r="G98">
        <v>4.24</v>
      </c>
      <c r="H98">
        <v>4.2699999999999996</v>
      </c>
      <c r="I98">
        <v>2.56</v>
      </c>
      <c r="J98">
        <v>11325</v>
      </c>
      <c r="K98">
        <f t="shared" ref="K98:K101" si="3">J98/D98</f>
        <v>40446.428571428565</v>
      </c>
    </row>
    <row r="99" spans="1:11">
      <c r="A99" t="s">
        <v>168</v>
      </c>
      <c r="B99" t="s">
        <v>41</v>
      </c>
      <c r="C99" t="s">
        <v>40</v>
      </c>
      <c r="D99">
        <v>1.03</v>
      </c>
      <c r="E99" t="s">
        <v>14</v>
      </c>
      <c r="F99" t="s">
        <v>58</v>
      </c>
      <c r="G99">
        <v>6.48</v>
      </c>
      <c r="H99">
        <v>6.41</v>
      </c>
      <c r="I99">
        <v>4.05</v>
      </c>
      <c r="J99">
        <v>68138</v>
      </c>
      <c r="K99">
        <f t="shared" si="3"/>
        <v>66153.398058252424</v>
      </c>
    </row>
    <row r="100" spans="1:11">
      <c r="A100" t="s">
        <v>169</v>
      </c>
      <c r="B100" t="s">
        <v>43</v>
      </c>
      <c r="C100" t="s">
        <v>44</v>
      </c>
      <c r="D100">
        <v>0.33</v>
      </c>
      <c r="E100" t="s">
        <v>42</v>
      </c>
      <c r="F100" t="s">
        <v>15</v>
      </c>
      <c r="G100">
        <v>4.4400000000000004</v>
      </c>
      <c r="H100">
        <v>4.47</v>
      </c>
      <c r="I100">
        <v>2.74</v>
      </c>
      <c r="J100">
        <v>19538</v>
      </c>
      <c r="K100">
        <f t="shared" si="3"/>
        <v>59206.060606060601</v>
      </c>
    </row>
    <row r="101" spans="1:11">
      <c r="A101" t="s">
        <v>170</v>
      </c>
      <c r="B101" t="s">
        <v>45</v>
      </c>
      <c r="C101" t="s">
        <v>46</v>
      </c>
      <c r="D101">
        <v>0.41</v>
      </c>
      <c r="E101" t="s">
        <v>14</v>
      </c>
      <c r="F101" t="s">
        <v>54</v>
      </c>
      <c r="G101">
        <v>4.74</v>
      </c>
      <c r="H101">
        <v>4.71</v>
      </c>
      <c r="I101">
        <v>2.97</v>
      </c>
      <c r="J101">
        <v>19894</v>
      </c>
      <c r="K101">
        <f t="shared" si="3"/>
        <v>48521.951219512201</v>
      </c>
    </row>
    <row r="108" spans="1:11">
      <c r="C108" t="s">
        <v>171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A5CFE-7844-4439-A708-54216F4A3B6A}">
  <dimension ref="A1:B2"/>
  <sheetViews>
    <sheetView workbookViewId="0">
      <selection activeCell="C6" sqref="C6"/>
    </sheetView>
  </sheetViews>
  <sheetFormatPr defaultRowHeight="14.25"/>
  <cols>
    <col min="1" max="1" width="11.25" bestFit="1" customWidth="1"/>
    <col min="2" max="2" width="26.5" customWidth="1"/>
  </cols>
  <sheetData>
    <row r="1" spans="1:2" ht="15" thickBot="1"/>
    <row r="2" spans="1:2">
      <c r="A2" s="6" t="s">
        <v>258</v>
      </c>
      <c r="B2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E4C16-02CF-4628-AE04-6D8C586831F4}">
  <dimension ref="A2:H22"/>
  <sheetViews>
    <sheetView topLeftCell="A88" workbookViewId="0">
      <selection activeCell="L16" sqref="L16"/>
    </sheetView>
  </sheetViews>
  <sheetFormatPr defaultRowHeight="15"/>
  <cols>
    <col min="1" max="1" width="4.125" style="4" bestFit="1" customWidth="1"/>
    <col min="2" max="2" width="6.25" style="4" bestFit="1" customWidth="1"/>
    <col min="3" max="3" width="9" style="4"/>
    <col min="4" max="4" width="19.375" style="4" bestFit="1" customWidth="1"/>
    <col min="5" max="5" width="11.875" style="4" bestFit="1" customWidth="1"/>
    <col min="6" max="6" width="15.875" style="4" bestFit="1" customWidth="1"/>
    <col min="7" max="8" width="8.5" style="4" bestFit="1" customWidth="1"/>
    <col min="9" max="16384" width="9" style="4"/>
  </cols>
  <sheetData>
    <row r="2" spans="1:8">
      <c r="A2" s="3" t="s">
        <v>172</v>
      </c>
      <c r="B2" s="3" t="s">
        <v>173</v>
      </c>
      <c r="C2" s="3" t="s">
        <v>174</v>
      </c>
      <c r="D2" s="3" t="s">
        <v>175</v>
      </c>
      <c r="E2" s="3" t="s">
        <v>176</v>
      </c>
      <c r="F2" s="3" t="s">
        <v>177</v>
      </c>
      <c r="G2" s="3" t="s">
        <v>178</v>
      </c>
      <c r="H2" s="3" t="s">
        <v>179</v>
      </c>
    </row>
    <row r="3" spans="1:8">
      <c r="A3" s="4" t="s">
        <v>180</v>
      </c>
      <c r="B3" s="4" t="s">
        <v>181</v>
      </c>
      <c r="C3" s="4" t="s">
        <v>182</v>
      </c>
      <c r="D3" s="4" t="s">
        <v>183</v>
      </c>
      <c r="E3" s="4" t="s">
        <v>184</v>
      </c>
      <c r="F3" s="4" t="s">
        <v>185</v>
      </c>
      <c r="G3" s="5">
        <v>46265</v>
      </c>
      <c r="H3" s="5">
        <v>46235</v>
      </c>
    </row>
    <row r="4" spans="1:8">
      <c r="A4" s="4" t="s">
        <v>186</v>
      </c>
      <c r="B4" s="4" t="s">
        <v>187</v>
      </c>
      <c r="C4" s="4" t="s">
        <v>188</v>
      </c>
      <c r="D4" s="4" t="s">
        <v>189</v>
      </c>
      <c r="E4" s="4" t="s">
        <v>190</v>
      </c>
      <c r="F4" s="4" t="s">
        <v>191</v>
      </c>
      <c r="G4" s="5">
        <v>46265</v>
      </c>
      <c r="H4" s="5">
        <v>46235</v>
      </c>
    </row>
    <row r="5" spans="1:8">
      <c r="A5" s="4" t="s">
        <v>192</v>
      </c>
      <c r="B5" s="4" t="s">
        <v>193</v>
      </c>
      <c r="C5" s="4" t="s">
        <v>194</v>
      </c>
      <c r="D5" s="4" t="s">
        <v>195</v>
      </c>
      <c r="E5" s="4" t="s">
        <v>12</v>
      </c>
      <c r="F5" s="4" t="s">
        <v>196</v>
      </c>
      <c r="G5" s="5">
        <v>46265</v>
      </c>
      <c r="H5" s="5">
        <v>46235</v>
      </c>
    </row>
    <row r="6" spans="1:8">
      <c r="A6" s="4" t="s">
        <v>197</v>
      </c>
      <c r="B6" s="4" t="s">
        <v>198</v>
      </c>
      <c r="C6" s="4" t="s">
        <v>199</v>
      </c>
      <c r="D6" s="4" t="s">
        <v>200</v>
      </c>
      <c r="E6" s="4" t="s">
        <v>201</v>
      </c>
      <c r="F6" s="4" t="s">
        <v>202</v>
      </c>
      <c r="G6" s="5">
        <v>46265</v>
      </c>
      <c r="H6" s="5">
        <v>46235</v>
      </c>
    </row>
    <row r="7" spans="1:8">
      <c r="A7" s="4" t="s">
        <v>180</v>
      </c>
      <c r="B7" s="4" t="s">
        <v>203</v>
      </c>
      <c r="C7" s="4" t="s">
        <v>204</v>
      </c>
      <c r="D7" s="4" t="s">
        <v>205</v>
      </c>
      <c r="E7" s="4" t="s">
        <v>206</v>
      </c>
      <c r="F7" s="4" t="s">
        <v>185</v>
      </c>
      <c r="G7" s="5">
        <v>46265</v>
      </c>
      <c r="H7" s="5">
        <v>46235</v>
      </c>
    </row>
    <row r="8" spans="1:8">
      <c r="A8" s="4" t="s">
        <v>186</v>
      </c>
      <c r="B8" s="4" t="s">
        <v>207</v>
      </c>
      <c r="C8" s="4" t="s">
        <v>208</v>
      </c>
      <c r="D8" s="4" t="s">
        <v>209</v>
      </c>
      <c r="E8" s="4" t="s">
        <v>210</v>
      </c>
      <c r="F8" s="4" t="s">
        <v>211</v>
      </c>
      <c r="G8" s="5">
        <v>46265</v>
      </c>
      <c r="H8" s="5">
        <v>46235</v>
      </c>
    </row>
    <row r="9" spans="1:8">
      <c r="A9" s="4" t="s">
        <v>180</v>
      </c>
      <c r="B9" s="4" t="s">
        <v>212</v>
      </c>
      <c r="C9" s="4" t="s">
        <v>213</v>
      </c>
      <c r="D9" s="4" t="s">
        <v>214</v>
      </c>
      <c r="E9" s="4" t="s">
        <v>190</v>
      </c>
      <c r="F9" s="4" t="s">
        <v>191</v>
      </c>
      <c r="G9" s="5">
        <v>46265</v>
      </c>
      <c r="H9" s="5">
        <v>46235</v>
      </c>
    </row>
    <row r="10" spans="1:8">
      <c r="A10" s="4" t="s">
        <v>192</v>
      </c>
      <c r="B10" s="4" t="s">
        <v>215</v>
      </c>
      <c r="C10" s="4" t="s">
        <v>216</v>
      </c>
      <c r="D10" s="4" t="s">
        <v>217</v>
      </c>
      <c r="E10" s="4" t="s">
        <v>184</v>
      </c>
      <c r="F10" s="4" t="s">
        <v>211</v>
      </c>
      <c r="G10" s="5">
        <v>46265</v>
      </c>
      <c r="H10" s="5">
        <v>46235</v>
      </c>
    </row>
    <row r="11" spans="1:8">
      <c r="A11" s="4" t="s">
        <v>197</v>
      </c>
      <c r="B11" s="4" t="s">
        <v>218</v>
      </c>
      <c r="C11" s="4" t="s">
        <v>219</v>
      </c>
      <c r="D11" s="4" t="s">
        <v>220</v>
      </c>
      <c r="E11" s="4" t="s">
        <v>201</v>
      </c>
      <c r="F11" s="4" t="s">
        <v>202</v>
      </c>
      <c r="G11" s="5">
        <v>46265</v>
      </c>
      <c r="H11" s="5">
        <v>46235</v>
      </c>
    </row>
    <row r="12" spans="1:8">
      <c r="A12" s="4" t="s">
        <v>180</v>
      </c>
      <c r="B12" s="4" t="s">
        <v>221</v>
      </c>
      <c r="C12" s="4" t="s">
        <v>222</v>
      </c>
      <c r="D12" s="4" t="s">
        <v>223</v>
      </c>
      <c r="E12" s="4" t="s">
        <v>12</v>
      </c>
      <c r="F12" s="4" t="s">
        <v>196</v>
      </c>
      <c r="G12" s="5">
        <v>46265</v>
      </c>
      <c r="H12" s="5">
        <v>46235</v>
      </c>
    </row>
    <row r="13" spans="1:8">
      <c r="A13" s="4" t="s">
        <v>180</v>
      </c>
      <c r="B13" s="4" t="s">
        <v>224</v>
      </c>
      <c r="C13" s="4" t="s">
        <v>225</v>
      </c>
      <c r="D13" s="4" t="s">
        <v>226</v>
      </c>
      <c r="E13" s="4" t="s">
        <v>227</v>
      </c>
      <c r="F13" s="4" t="s">
        <v>185</v>
      </c>
      <c r="G13" s="5">
        <v>46265</v>
      </c>
      <c r="H13" s="5">
        <v>46235</v>
      </c>
    </row>
    <row r="14" spans="1:8">
      <c r="A14" s="4" t="s">
        <v>186</v>
      </c>
      <c r="B14" s="4" t="s">
        <v>228</v>
      </c>
      <c r="C14" s="4" t="s">
        <v>229</v>
      </c>
      <c r="D14" s="4" t="s">
        <v>230</v>
      </c>
      <c r="E14" s="4" t="s">
        <v>231</v>
      </c>
      <c r="F14" s="4" t="s">
        <v>202</v>
      </c>
      <c r="G14" s="5">
        <v>46265</v>
      </c>
      <c r="H14" s="5">
        <v>46235</v>
      </c>
    </row>
    <row r="15" spans="1:8">
      <c r="A15" s="4" t="s">
        <v>192</v>
      </c>
      <c r="B15" s="4" t="s">
        <v>232</v>
      </c>
      <c r="C15" s="4" t="s">
        <v>233</v>
      </c>
      <c r="D15" s="4" t="s">
        <v>234</v>
      </c>
      <c r="E15" s="4" t="s">
        <v>235</v>
      </c>
      <c r="F15" s="4" t="s">
        <v>211</v>
      </c>
      <c r="G15" s="5">
        <v>46265</v>
      </c>
      <c r="H15" s="5">
        <v>46235</v>
      </c>
    </row>
    <row r="16" spans="1:8">
      <c r="A16" s="4" t="s">
        <v>197</v>
      </c>
      <c r="B16" s="4" t="s">
        <v>236</v>
      </c>
      <c r="C16" s="4" t="s">
        <v>237</v>
      </c>
      <c r="D16" s="4" t="s">
        <v>238</v>
      </c>
      <c r="E16" s="4" t="s">
        <v>190</v>
      </c>
      <c r="F16" s="4" t="s">
        <v>191</v>
      </c>
      <c r="G16" s="5">
        <v>46265</v>
      </c>
      <c r="H16" s="5">
        <v>46235</v>
      </c>
    </row>
    <row r="17" spans="1:8">
      <c r="A17" s="4" t="s">
        <v>180</v>
      </c>
      <c r="B17" s="4" t="s">
        <v>239</v>
      </c>
      <c r="C17" s="4" t="s">
        <v>216</v>
      </c>
      <c r="D17" s="4" t="s">
        <v>240</v>
      </c>
      <c r="E17" s="4" t="s">
        <v>12</v>
      </c>
      <c r="F17" s="4" t="s">
        <v>196</v>
      </c>
      <c r="G17" s="5">
        <v>46265</v>
      </c>
      <c r="H17" s="5">
        <v>46235</v>
      </c>
    </row>
    <row r="18" spans="1:8">
      <c r="A18" s="4" t="s">
        <v>186</v>
      </c>
      <c r="B18" s="4" t="s">
        <v>241</v>
      </c>
      <c r="C18" s="4" t="s">
        <v>242</v>
      </c>
      <c r="D18" s="4" t="s">
        <v>243</v>
      </c>
      <c r="E18" s="4" t="s">
        <v>244</v>
      </c>
      <c r="F18" s="4" t="s">
        <v>191</v>
      </c>
      <c r="G18" s="5">
        <v>46265</v>
      </c>
      <c r="H18" s="5">
        <v>46235</v>
      </c>
    </row>
    <row r="19" spans="1:8">
      <c r="A19" s="4" t="s">
        <v>180</v>
      </c>
      <c r="B19" s="4" t="s">
        <v>245</v>
      </c>
      <c r="C19" s="4" t="s">
        <v>246</v>
      </c>
      <c r="D19" s="4" t="s">
        <v>247</v>
      </c>
      <c r="E19" s="4" t="s">
        <v>184</v>
      </c>
      <c r="F19" s="4" t="s">
        <v>185</v>
      </c>
      <c r="G19" s="5">
        <v>46265</v>
      </c>
      <c r="H19" s="5">
        <v>46235</v>
      </c>
    </row>
    <row r="20" spans="1:8">
      <c r="A20" s="4" t="s">
        <v>192</v>
      </c>
      <c r="B20" s="4" t="s">
        <v>248</v>
      </c>
      <c r="C20" s="4" t="s">
        <v>249</v>
      </c>
      <c r="D20" s="4" t="s">
        <v>250</v>
      </c>
      <c r="E20" s="4" t="s">
        <v>210</v>
      </c>
      <c r="F20" s="4" t="s">
        <v>211</v>
      </c>
      <c r="G20" s="5">
        <v>46265</v>
      </c>
      <c r="H20" s="5">
        <v>46235</v>
      </c>
    </row>
    <row r="21" spans="1:8">
      <c r="A21" s="4" t="s">
        <v>197</v>
      </c>
      <c r="B21" s="4" t="s">
        <v>251</v>
      </c>
      <c r="C21" s="4" t="s">
        <v>252</v>
      </c>
      <c r="D21" s="4" t="s">
        <v>253</v>
      </c>
      <c r="E21" s="4" t="s">
        <v>254</v>
      </c>
      <c r="F21" s="4" t="s">
        <v>202</v>
      </c>
      <c r="G21" s="5">
        <v>46265</v>
      </c>
      <c r="H21" s="5">
        <v>46235</v>
      </c>
    </row>
    <row r="22" spans="1:8">
      <c r="A22" s="4" t="s">
        <v>180</v>
      </c>
      <c r="B22" s="4" t="s">
        <v>255</v>
      </c>
      <c r="C22" s="4" t="s">
        <v>256</v>
      </c>
      <c r="D22" s="4" t="s">
        <v>257</v>
      </c>
      <c r="E22" s="4" t="s">
        <v>206</v>
      </c>
      <c r="F22" s="4" t="s">
        <v>196</v>
      </c>
      <c r="G22" s="5">
        <v>46265</v>
      </c>
      <c r="H22" s="5">
        <v>46235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5"/>
  <sheetViews>
    <sheetView topLeftCell="A52" workbookViewId="0">
      <selection activeCell="C31" sqref="C31"/>
    </sheetView>
  </sheetViews>
  <sheetFormatPr defaultRowHeight="14.25"/>
  <cols>
    <col min="1" max="1" width="17.125" customWidth="1"/>
    <col min="2" max="2" width="62" customWidth="1"/>
    <col min="3" max="3" width="11.625" customWidth="1"/>
  </cols>
  <sheetData>
    <row r="1" spans="1:3" ht="30">
      <c r="A1" s="1" t="s">
        <v>5</v>
      </c>
      <c r="B1" s="1" t="s">
        <v>62</v>
      </c>
      <c r="C1" s="1" t="s">
        <v>63</v>
      </c>
    </row>
    <row r="2" spans="1:3">
      <c r="A2" s="2" t="s">
        <v>26</v>
      </c>
      <c r="B2" s="2" t="s">
        <v>27</v>
      </c>
      <c r="C2" s="2">
        <v>1</v>
      </c>
    </row>
    <row r="3" spans="1:3">
      <c r="A3" s="2" t="s">
        <v>32</v>
      </c>
      <c r="B3" s="2" t="s">
        <v>33</v>
      </c>
      <c r="C3" s="2">
        <v>2</v>
      </c>
    </row>
    <row r="4" spans="1:3">
      <c r="A4" s="2" t="s">
        <v>15</v>
      </c>
      <c r="B4" s="2" t="s">
        <v>16</v>
      </c>
      <c r="C4" s="2">
        <v>3</v>
      </c>
    </row>
    <row r="5" spans="1:3">
      <c r="A5" s="2" t="s">
        <v>49</v>
      </c>
      <c r="B5" s="2" t="s">
        <v>50</v>
      </c>
      <c r="C5" s="2">
        <v>4</v>
      </c>
    </row>
    <row r="6" spans="1:3">
      <c r="A6" s="2" t="s">
        <v>21</v>
      </c>
      <c r="B6" s="2" t="s">
        <v>22</v>
      </c>
      <c r="C6" s="2">
        <v>5</v>
      </c>
    </row>
    <row r="7" spans="1:3">
      <c r="A7" s="2" t="s">
        <v>54</v>
      </c>
      <c r="B7" s="2" t="s">
        <v>55</v>
      </c>
      <c r="C7" s="2">
        <v>6</v>
      </c>
    </row>
    <row r="8" spans="1:3">
      <c r="A8" s="2" t="s">
        <v>58</v>
      </c>
      <c r="B8" s="2" t="s">
        <v>59</v>
      </c>
      <c r="C8" s="2">
        <v>7</v>
      </c>
    </row>
    <row r="9" spans="1:3">
      <c r="A9" s="2"/>
      <c r="B9" s="2"/>
      <c r="C9" s="2"/>
    </row>
    <row r="10" spans="1:3" ht="30">
      <c r="A10" s="1" t="s">
        <v>6</v>
      </c>
      <c r="B10" s="1" t="s">
        <v>62</v>
      </c>
      <c r="C10" s="1" t="s">
        <v>63</v>
      </c>
    </row>
    <row r="11" spans="1:3">
      <c r="A11" s="2" t="s">
        <v>60</v>
      </c>
      <c r="B11" s="2" t="s">
        <v>61</v>
      </c>
      <c r="C11" s="2">
        <v>1</v>
      </c>
    </row>
    <row r="12" spans="1:3">
      <c r="A12" s="2" t="s">
        <v>47</v>
      </c>
      <c r="B12" s="2" t="s">
        <v>48</v>
      </c>
      <c r="C12" s="2">
        <v>2</v>
      </c>
    </row>
    <row r="13" spans="1:3">
      <c r="A13" s="2" t="s">
        <v>36</v>
      </c>
      <c r="B13" s="2" t="s">
        <v>37</v>
      </c>
      <c r="C13" s="2">
        <v>3</v>
      </c>
    </row>
    <row r="14" spans="1:3">
      <c r="A14" s="2" t="s">
        <v>52</v>
      </c>
      <c r="B14" s="2" t="s">
        <v>53</v>
      </c>
      <c r="C14" s="2">
        <v>4</v>
      </c>
    </row>
    <row r="15" spans="1:3">
      <c r="A15" s="2" t="s">
        <v>23</v>
      </c>
      <c r="B15" s="2" t="s">
        <v>24</v>
      </c>
      <c r="C15" s="2">
        <v>5</v>
      </c>
    </row>
    <row r="16" spans="1:3">
      <c r="A16" s="2" t="s">
        <v>28</v>
      </c>
      <c r="B16" s="2" t="s">
        <v>29</v>
      </c>
      <c r="C16" s="2">
        <v>6</v>
      </c>
    </row>
    <row r="17" spans="1:3">
      <c r="A17" s="2" t="s">
        <v>17</v>
      </c>
      <c r="B17" s="2" t="s">
        <v>18</v>
      </c>
      <c r="C17" s="2">
        <v>7</v>
      </c>
    </row>
    <row r="18" spans="1:3">
      <c r="A18" s="2" t="s">
        <v>56</v>
      </c>
      <c r="B18" s="2" t="s">
        <v>57</v>
      </c>
      <c r="C18" s="2">
        <v>8</v>
      </c>
    </row>
    <row r="19" spans="1:3">
      <c r="A19" s="2"/>
      <c r="B19" s="2"/>
      <c r="C19" s="2"/>
    </row>
    <row r="20" spans="1:3" ht="30">
      <c r="A20" s="1" t="s">
        <v>64</v>
      </c>
      <c r="B20" s="1" t="s">
        <v>65</v>
      </c>
      <c r="C20" s="1"/>
    </row>
    <row r="21" spans="1:3">
      <c r="A21" s="2" t="s">
        <v>51</v>
      </c>
      <c r="B21" s="2" t="s">
        <v>66</v>
      </c>
      <c r="C21" s="2"/>
    </row>
    <row r="22" spans="1:3">
      <c r="A22" s="2" t="s">
        <v>20</v>
      </c>
      <c r="B22" s="2" t="s">
        <v>67</v>
      </c>
      <c r="C22" s="2"/>
    </row>
    <row r="23" spans="1:3">
      <c r="A23" s="2" t="s">
        <v>35</v>
      </c>
      <c r="B23" s="2" t="s">
        <v>68</v>
      </c>
      <c r="C23" s="2"/>
    </row>
    <row r="24" spans="1:3">
      <c r="A24" s="2" t="s">
        <v>14</v>
      </c>
      <c r="B24" s="2" t="s">
        <v>69</v>
      </c>
      <c r="C24" s="2"/>
    </row>
    <row r="25" spans="1:3">
      <c r="A25" s="2" t="s">
        <v>42</v>
      </c>
      <c r="B25" s="2" t="s">
        <v>70</v>
      </c>
      <c r="C2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Investors</vt:lpstr>
      <vt:lpstr>Summary</vt:lpstr>
      <vt:lpstr>Sheet1</vt:lpstr>
      <vt:lpstr>Code_Guide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FREDRIECH PRETORIUS</cp:lastModifiedBy>
  <dcterms:created xsi:type="dcterms:W3CDTF">2026-06-08T17:15:23Z</dcterms:created>
  <dcterms:modified xsi:type="dcterms:W3CDTF">2026-09-01T06:45:35Z</dcterms:modified>
</cp:coreProperties>
</file>