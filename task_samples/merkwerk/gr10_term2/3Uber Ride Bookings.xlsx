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Categori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&quot;R&quot;#,##0.00"/>
    <numFmt numFmtId="166" formatCode="_-* #,##0.00\ [$€-42D]_-;\-* #,##0.00\ [$€-42D]_-;_-* &quot;-&quot;??\ [$€-42D]_-;_-@_-"/>
  </numFmts>
  <fonts count="5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color theme="1"/>
      <sz val="16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165" fontId="0" fillId="2" borderId="0" pivotButton="0" quotePrefix="0" xfId="0"/>
    <xf numFmtId="166" fontId="0" fillId="2" borderId="0" pivotButton="0" quotePrefix="0" xfId="0"/>
    <xf numFmtId="0" fontId="3" fillId="3" borderId="1" pivotButton="0" quotePrefix="0" xfId="0"/>
    <xf numFmtId="0" fontId="3" fillId="3" borderId="2" pivotButton="0" quotePrefix="0" xfId="0"/>
    <xf numFmtId="165" fontId="3" fillId="3" borderId="2" pivotButton="0" quotePrefix="0" xfId="0"/>
    <xf numFmtId="0" fontId="4" fillId="3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tabSelected="1" workbookViewId="0">
      <pane ySplit="1" topLeftCell="A2" activePane="bottomLeft" state="frozen"/>
      <selection pane="bottomLeft" activeCell="A1" sqref="A1:XFD1"/>
    </sheetView>
  </sheetViews>
  <sheetFormatPr baseColWidth="8" defaultRowHeight="15"/>
  <cols>
    <col width="10.85546875" bestFit="1" customWidth="1" min="1" max="1"/>
    <col width="21.42578125" bestFit="1" customWidth="1" min="2" max="2"/>
    <col width="13.85546875" bestFit="1" customWidth="1" min="3" max="3"/>
    <col width="19.42578125" bestFit="1" customWidth="1" min="4" max="4"/>
    <col width="20" bestFit="1" customWidth="1" style="5" min="5" max="5"/>
    <col width="19" bestFit="1" customWidth="1" min="6" max="6"/>
    <col width="14" bestFit="1" customWidth="1" min="7" max="7"/>
    <col width="16.5703125" bestFit="1" customWidth="1" min="8" max="8"/>
    <col width="4.28515625" customWidth="1" min="9" max="9"/>
    <col width="14.5703125" customWidth="1" min="10" max="10"/>
    <col width="16.85546875" customWidth="1" min="11" max="11"/>
  </cols>
  <sheetData>
    <row r="1" ht="21.75" customFormat="1" customHeight="1" s="11" thickBot="1">
      <c r="A1" s="8" t="inlineStr">
        <is>
          <t>Booking ID</t>
        </is>
      </c>
      <c r="B1" s="9" t="inlineStr">
        <is>
          <t>Booking Status</t>
        </is>
      </c>
      <c r="C1" s="9" t="inlineStr">
        <is>
          <t>Vehicle Type</t>
        </is>
      </c>
      <c r="D1" s="9" t="inlineStr">
        <is>
          <t>Trip Duration (min)</t>
        </is>
      </c>
      <c r="E1" s="10" t="inlineStr">
        <is>
          <t>Booking Value (ZAR)</t>
        </is>
      </c>
      <c r="F1" s="9" t="inlineStr">
        <is>
          <t>Ride Distance (km)</t>
        </is>
      </c>
      <c r="G1" s="9" t="inlineStr">
        <is>
          <t>Driver Ratings</t>
        </is>
      </c>
      <c r="H1" s="9" t="inlineStr">
        <is>
          <t>Customer Rating</t>
        </is>
      </c>
    </row>
    <row r="2">
      <c r="A2" t="inlineStr">
        <is>
          <t>CNR001</t>
        </is>
      </c>
      <c r="B2" t="inlineStr">
        <is>
          <t>Incomplete</t>
        </is>
      </c>
      <c r="C2" t="inlineStr">
        <is>
          <t>Go Sedan</t>
        </is>
      </c>
      <c r="D2" t="n">
        <v>64.90000000000001</v>
      </c>
      <c r="E2" s="5" t="n">
        <v>237</v>
      </c>
      <c r="F2" t="n">
        <v>55.73</v>
      </c>
    </row>
    <row r="3">
      <c r="A3" t="inlineStr">
        <is>
          <t>CNR002</t>
        </is>
      </c>
      <c r="B3" t="inlineStr">
        <is>
          <t>Completed</t>
        </is>
      </c>
      <c r="C3" t="inlineStr">
        <is>
          <t>Auto</t>
        </is>
      </c>
      <c r="D3" t="n">
        <v>73.40000000000001</v>
      </c>
      <c r="E3" s="5" t="n">
        <v>627</v>
      </c>
      <c r="F3" t="n">
        <v>63.58</v>
      </c>
      <c r="G3" t="n">
        <v>4.9</v>
      </c>
      <c r="H3" t="n">
        <v>4.9</v>
      </c>
      <c r="J3" s="3" t="inlineStr">
        <is>
          <t>Question 3.4</t>
        </is>
      </c>
      <c r="K3" s="4">
        <f>D3-60</f>
        <v/>
      </c>
    </row>
    <row r="4">
      <c r="A4" t="inlineStr">
        <is>
          <t>CNR003</t>
        </is>
      </c>
      <c r="B4" t="inlineStr">
        <is>
          <t>Completed</t>
        </is>
      </c>
      <c r="C4" t="inlineStr">
        <is>
          <t>Premier Sedan</t>
        </is>
      </c>
      <c r="D4" t="n">
        <v>73.09999999999999</v>
      </c>
      <c r="E4" s="5" t="n">
        <v>416</v>
      </c>
      <c r="F4" t="n">
        <v>84.02000000000001</v>
      </c>
      <c r="G4" t="n">
        <v>4.6</v>
      </c>
      <c r="H4" t="n">
        <v>5</v>
      </c>
      <c r="J4" s="3" t="inlineStr">
        <is>
          <t>Question 3.5</t>
        </is>
      </c>
      <c r="K4" s="4">
        <f>MAX(D2:D50)/60</f>
        <v/>
      </c>
    </row>
    <row r="5">
      <c r="A5" t="inlineStr">
        <is>
          <t>CNR004</t>
        </is>
      </c>
      <c r="B5" t="inlineStr">
        <is>
          <t>Completed</t>
        </is>
      </c>
      <c r="C5" t="inlineStr">
        <is>
          <t>Bike</t>
        </is>
      </c>
      <c r="D5" t="n">
        <v>65.3</v>
      </c>
      <c r="E5" s="5" t="n">
        <v>737</v>
      </c>
      <c r="F5" t="n">
        <v>98.21000000000001</v>
      </c>
      <c r="G5" t="n">
        <v>4.1</v>
      </c>
      <c r="H5" t="n">
        <v>4.3</v>
      </c>
      <c r="J5" s="3" t="inlineStr">
        <is>
          <t>Question 3.6</t>
        </is>
      </c>
      <c r="K5" s="6">
        <f>SUM(E2:E50)</f>
        <v/>
      </c>
    </row>
    <row r="6">
      <c r="A6" t="inlineStr">
        <is>
          <t>CNR005</t>
        </is>
      </c>
      <c r="B6" t="inlineStr">
        <is>
          <t>Completed</t>
        </is>
      </c>
      <c r="C6" t="inlineStr">
        <is>
          <t>Auto</t>
        </is>
      </c>
      <c r="D6" t="n">
        <v>65.09999999999999</v>
      </c>
      <c r="E6" s="5" t="n">
        <v>316</v>
      </c>
      <c r="F6" t="n">
        <v>54.85</v>
      </c>
      <c r="G6" t="n">
        <v>4.1</v>
      </c>
      <c r="H6" t="n">
        <v>4.6</v>
      </c>
      <c r="J6" s="3" t="inlineStr">
        <is>
          <t>Question 3.7</t>
        </is>
      </c>
      <c r="K6" s="4">
        <f>ROUND(AVERAGE(F2:F50),1)</f>
        <v/>
      </c>
    </row>
    <row r="7">
      <c r="A7" t="inlineStr">
        <is>
          <t>CNR006</t>
        </is>
      </c>
      <c r="B7" t="inlineStr">
        <is>
          <t>Completed</t>
        </is>
      </c>
      <c r="C7" t="inlineStr">
        <is>
          <t>Go Mini</t>
        </is>
      </c>
      <c r="D7" t="n">
        <v>67.09999999999999</v>
      </c>
      <c r="E7" s="5" t="n">
        <v>640</v>
      </c>
      <c r="F7" t="n">
        <v>91.24000000000001</v>
      </c>
      <c r="G7" t="n">
        <v>4</v>
      </c>
      <c r="H7" t="n">
        <v>4.1</v>
      </c>
      <c r="J7" s="3" t="inlineStr">
        <is>
          <t>Question 3.8</t>
        </is>
      </c>
      <c r="K7" s="4">
        <f>COUNTA(B2:B50)</f>
        <v/>
      </c>
    </row>
    <row r="8">
      <c r="A8" t="inlineStr">
        <is>
          <t>CNR007</t>
        </is>
      </c>
      <c r="B8" t="inlineStr">
        <is>
          <t>Completed</t>
        </is>
      </c>
      <c r="C8" t="inlineStr">
        <is>
          <t>Auto</t>
        </is>
      </c>
      <c r="D8" t="n">
        <v>72.09999999999999</v>
      </c>
      <c r="E8" s="5" t="n">
        <v>136</v>
      </c>
      <c r="F8" t="n">
        <v>56.56</v>
      </c>
      <c r="G8" t="n">
        <v>4.4</v>
      </c>
      <c r="H8" t="n">
        <v>4.2</v>
      </c>
      <c r="J8" s="3" t="inlineStr">
        <is>
          <t>Question 3.9</t>
        </is>
      </c>
      <c r="K8" s="4">
        <f>D8+60</f>
        <v/>
      </c>
    </row>
    <row r="9">
      <c r="A9" t="inlineStr">
        <is>
          <t>CNR008</t>
        </is>
      </c>
      <c r="B9" t="inlineStr">
        <is>
          <t>No Driver Found</t>
        </is>
      </c>
      <c r="C9" t="inlineStr">
        <is>
          <t>Go Sedan</t>
        </is>
      </c>
      <c r="D9" t="n">
        <v>60</v>
      </c>
      <c r="E9" s="5" t="n">
        <v>251.9</v>
      </c>
      <c r="J9" s="3" t="inlineStr">
        <is>
          <t>Question 3.10</t>
        </is>
      </c>
      <c r="K9" s="4">
        <f>SUM(F2:F50)</f>
        <v/>
      </c>
    </row>
    <row r="10">
      <c r="A10" t="inlineStr">
        <is>
          <t>CNR009</t>
        </is>
      </c>
      <c r="B10" t="inlineStr">
        <is>
          <t>Incomplete</t>
        </is>
      </c>
      <c r="C10" t="inlineStr">
        <is>
          <t>Auto</t>
        </is>
      </c>
      <c r="D10" t="n">
        <v>66.09999999999999</v>
      </c>
      <c r="E10" s="5" t="n">
        <v>186.2</v>
      </c>
      <c r="F10" t="n">
        <v>60.36</v>
      </c>
      <c r="J10" s="3" t="inlineStr">
        <is>
          <t>Question 3.11</t>
        </is>
      </c>
      <c r="K10" s="6">
        <f>E16+E27+E15</f>
        <v/>
      </c>
    </row>
    <row r="11">
      <c r="A11" t="inlineStr">
        <is>
          <t>CNR010</t>
        </is>
      </c>
      <c r="B11" t="inlineStr">
        <is>
          <t>Completed</t>
        </is>
      </c>
      <c r="C11" t="inlineStr">
        <is>
          <t>Auto</t>
        </is>
      </c>
      <c r="D11" t="n">
        <v>67.7</v>
      </c>
      <c r="E11" s="5" t="n">
        <v>120.5</v>
      </c>
      <c r="F11" t="n">
        <v>69.84</v>
      </c>
      <c r="G11" t="n">
        <v>4.2</v>
      </c>
      <c r="H11" t="n">
        <v>4.9</v>
      </c>
      <c r="J11" s="3" t="inlineStr">
        <is>
          <t>Question 3.12</t>
        </is>
      </c>
      <c r="K11" s="7">
        <f>E11/21.31</f>
        <v/>
      </c>
    </row>
    <row r="12">
      <c r="A12" t="inlineStr">
        <is>
          <t>CNR011</t>
        </is>
      </c>
      <c r="B12" t="inlineStr">
        <is>
          <t>No Driver Found</t>
        </is>
      </c>
      <c r="C12" t="inlineStr">
        <is>
          <t>Auto</t>
        </is>
      </c>
      <c r="D12" t="n">
        <v>60</v>
      </c>
      <c r="E12" s="5" t="n">
        <v>54.8</v>
      </c>
    </row>
    <row r="13">
      <c r="A13" t="inlineStr">
        <is>
          <t>CNR012</t>
        </is>
      </c>
      <c r="B13" t="inlineStr">
        <is>
          <t>Cancelled by Driver</t>
        </is>
      </c>
      <c r="C13" t="inlineStr">
        <is>
          <t>eBike</t>
        </is>
      </c>
      <c r="D13" t="n">
        <v>64.59999999999999</v>
      </c>
      <c r="E13" s="5" t="n">
        <v>737</v>
      </c>
    </row>
    <row r="14">
      <c r="A14" t="inlineStr">
        <is>
          <t>CNR013</t>
        </is>
      </c>
      <c r="B14" t="inlineStr">
        <is>
          <t>Completed</t>
        </is>
      </c>
      <c r="C14" t="inlineStr">
        <is>
          <t>Go Mini</t>
        </is>
      </c>
      <c r="D14" t="n">
        <v>72.2</v>
      </c>
      <c r="E14" s="5" t="n">
        <v>316</v>
      </c>
      <c r="F14" t="n">
        <v>71.44</v>
      </c>
      <c r="G14" t="n">
        <v>4.1</v>
      </c>
      <c r="H14" t="n">
        <v>4.7</v>
      </c>
    </row>
    <row r="15">
      <c r="A15" t="inlineStr">
        <is>
          <t>CNR014</t>
        </is>
      </c>
      <c r="B15" t="inlineStr">
        <is>
          <t>Completed</t>
        </is>
      </c>
      <c r="C15" t="inlineStr">
        <is>
          <t>Go Mini</t>
        </is>
      </c>
      <c r="D15" t="n">
        <v>74</v>
      </c>
      <c r="E15" s="5" t="n">
        <v>640</v>
      </c>
      <c r="F15" t="n">
        <v>89.55</v>
      </c>
      <c r="G15" t="n">
        <v>4.7</v>
      </c>
      <c r="H15" t="n">
        <v>4.4</v>
      </c>
    </row>
    <row r="16">
      <c r="A16" t="inlineStr">
        <is>
          <t>CNR015</t>
        </is>
      </c>
      <c r="B16" t="inlineStr">
        <is>
          <t>Completed</t>
        </is>
      </c>
      <c r="C16" t="inlineStr">
        <is>
          <t>Auto</t>
        </is>
      </c>
      <c r="D16" t="n">
        <v>68.5</v>
      </c>
      <c r="E16" s="5" t="n">
        <v>251.9</v>
      </c>
      <c r="F16" t="n">
        <v>84.75999999999999</v>
      </c>
      <c r="G16" t="n">
        <v>4</v>
      </c>
      <c r="H16" t="n">
        <v>4.9</v>
      </c>
    </row>
    <row r="17">
      <c r="A17" t="inlineStr">
        <is>
          <t>CNR016</t>
        </is>
      </c>
      <c r="B17" t="inlineStr">
        <is>
          <t>Completed</t>
        </is>
      </c>
      <c r="C17" t="inlineStr">
        <is>
          <t>Premier Sedan</t>
        </is>
      </c>
      <c r="D17" t="n">
        <v>65.59999999999999</v>
      </c>
      <c r="E17" s="5" t="n">
        <v>186.2</v>
      </c>
      <c r="F17" t="n">
        <v>71.97</v>
      </c>
      <c r="G17" t="n">
        <v>4.9</v>
      </c>
      <c r="H17" t="n">
        <v>4.3</v>
      </c>
    </row>
    <row r="18">
      <c r="A18" t="inlineStr">
        <is>
          <t>CNR017</t>
        </is>
      </c>
      <c r="B18" t="inlineStr">
        <is>
          <t>Cancelled by Driver</t>
        </is>
      </c>
      <c r="C18" t="inlineStr">
        <is>
          <t>Go Sedan</t>
        </is>
      </c>
      <c r="D18" t="n">
        <v>66</v>
      </c>
      <c r="E18" s="5" t="n">
        <v>120.5</v>
      </c>
    </row>
    <row r="19">
      <c r="A19" t="inlineStr">
        <is>
          <t>CNR018</t>
        </is>
      </c>
      <c r="B19" t="inlineStr">
        <is>
          <t>Cancelled by Customer</t>
        </is>
      </c>
      <c r="C19" t="inlineStr">
        <is>
          <t>eBike</t>
        </is>
      </c>
      <c r="D19" t="n">
        <v>72.40000000000001</v>
      </c>
      <c r="E19" s="5" t="n">
        <v>54.8</v>
      </c>
    </row>
    <row r="20">
      <c r="A20" t="inlineStr">
        <is>
          <t>CNR019</t>
        </is>
      </c>
      <c r="B20" t="inlineStr">
        <is>
          <t>Cancelled by Driver</t>
        </is>
      </c>
      <c r="C20" t="inlineStr">
        <is>
          <t>eBike</t>
        </is>
      </c>
      <c r="D20" t="n">
        <v>70.3</v>
      </c>
      <c r="E20" s="5" t="n">
        <v>737</v>
      </c>
    </row>
    <row r="21">
      <c r="A21" t="inlineStr">
        <is>
          <t>CNR020</t>
        </is>
      </c>
      <c r="B21" t="inlineStr">
        <is>
          <t>Completed</t>
        </is>
      </c>
      <c r="C21" t="inlineStr">
        <is>
          <t>Go Sedan</t>
        </is>
      </c>
      <c r="D21" t="n">
        <v>66.09999999999999</v>
      </c>
      <c r="E21" s="5" t="n">
        <v>316</v>
      </c>
      <c r="F21" t="n">
        <v>63.64</v>
      </c>
      <c r="G21" t="n">
        <v>3.8</v>
      </c>
      <c r="H21" t="n">
        <v>4.7</v>
      </c>
    </row>
    <row r="22">
      <c r="A22" t="inlineStr">
        <is>
          <t>CNR021</t>
        </is>
      </c>
      <c r="B22" t="inlineStr">
        <is>
          <t>Completed</t>
        </is>
      </c>
      <c r="C22" t="inlineStr">
        <is>
          <t>Auto</t>
        </is>
      </c>
      <c r="D22" t="n">
        <v>67</v>
      </c>
      <c r="E22" s="5" t="n">
        <v>640</v>
      </c>
      <c r="F22" t="n">
        <v>54.5</v>
      </c>
      <c r="G22" t="n">
        <v>5</v>
      </c>
      <c r="H22" t="n">
        <v>4.2</v>
      </c>
    </row>
    <row r="23">
      <c r="A23" t="inlineStr">
        <is>
          <t>CNR022</t>
        </is>
      </c>
      <c r="B23" t="inlineStr">
        <is>
          <t>Completed</t>
        </is>
      </c>
      <c r="C23" t="inlineStr">
        <is>
          <t>Go Mini</t>
        </is>
      </c>
      <c r="D23" t="n">
        <v>70.40000000000001</v>
      </c>
      <c r="E23" s="5" t="n">
        <v>713</v>
      </c>
      <c r="F23" t="n">
        <v>88.03</v>
      </c>
      <c r="G23" t="n">
        <v>3.7</v>
      </c>
      <c r="H23" t="n">
        <v>3.6</v>
      </c>
    </row>
    <row r="24">
      <c r="A24" t="inlineStr">
        <is>
          <t>CNR023</t>
        </is>
      </c>
      <c r="B24" t="inlineStr">
        <is>
          <t>Completed</t>
        </is>
      </c>
      <c r="C24" t="inlineStr">
        <is>
          <t>Go Mini</t>
        </is>
      </c>
      <c r="D24" t="n">
        <v>67.90000000000001</v>
      </c>
      <c r="E24" s="5" t="n">
        <v>113</v>
      </c>
      <c r="F24" t="n">
        <v>64.53</v>
      </c>
      <c r="G24" t="n">
        <v>4.6</v>
      </c>
      <c r="H24" t="n">
        <v>4.9</v>
      </c>
    </row>
    <row r="25">
      <c r="A25" t="inlineStr">
        <is>
          <t>CNR024</t>
        </is>
      </c>
      <c r="B25" t="inlineStr">
        <is>
          <t>Completed</t>
        </is>
      </c>
      <c r="C25" t="inlineStr">
        <is>
          <t>Auto</t>
        </is>
      </c>
      <c r="D25" t="n">
        <v>73.59999999999999</v>
      </c>
      <c r="E25" s="5" t="n">
        <v>767</v>
      </c>
      <c r="F25" t="n">
        <v>57.39</v>
      </c>
      <c r="G25" t="n">
        <v>3.8</v>
      </c>
      <c r="H25" t="n">
        <v>4.6</v>
      </c>
    </row>
    <row r="26">
      <c r="A26" t="inlineStr">
        <is>
          <t>CNR025</t>
        </is>
      </c>
      <c r="B26" t="inlineStr">
        <is>
          <t>Completed</t>
        </is>
      </c>
      <c r="C26" t="inlineStr">
        <is>
          <t>Uber XL</t>
        </is>
      </c>
      <c r="D26" t="n">
        <v>65.09999999999999</v>
      </c>
      <c r="E26" s="5" t="n">
        <v>495</v>
      </c>
      <c r="F26" t="n">
        <v>60.23</v>
      </c>
      <c r="G26" t="n">
        <v>3.8</v>
      </c>
      <c r="H26" t="n">
        <v>4.2</v>
      </c>
    </row>
    <row r="27">
      <c r="A27" t="inlineStr">
        <is>
          <t>CNR026</t>
        </is>
      </c>
      <c r="B27" t="inlineStr">
        <is>
          <t>Cancelled by Driver</t>
        </is>
      </c>
      <c r="C27" t="inlineStr">
        <is>
          <t>Auto</t>
        </is>
      </c>
      <c r="D27" t="n">
        <v>71.5</v>
      </c>
      <c r="E27" s="5" t="n">
        <v>512</v>
      </c>
      <c r="F27" t="n">
        <v>69</v>
      </c>
      <c r="G27" t="n">
        <v>5</v>
      </c>
      <c r="H27" s="1" t="n">
        <v>4</v>
      </c>
    </row>
    <row r="28">
      <c r="A28" t="inlineStr">
        <is>
          <t>CNR027</t>
        </is>
      </c>
      <c r="B28" t="inlineStr">
        <is>
          <t>No Driver Found</t>
        </is>
      </c>
      <c r="C28" t="inlineStr">
        <is>
          <t>Premier Sedan</t>
        </is>
      </c>
      <c r="D28" t="n">
        <v>68.2</v>
      </c>
      <c r="E28" s="5" t="n">
        <v>854</v>
      </c>
      <c r="F28" t="n">
        <v>66</v>
      </c>
      <c r="G28" t="n">
        <v>0</v>
      </c>
      <c r="H28" s="1" t="n">
        <v>0</v>
      </c>
    </row>
    <row r="29">
      <c r="A29" t="inlineStr">
        <is>
          <t>CNR028</t>
        </is>
      </c>
      <c r="B29" t="inlineStr">
        <is>
          <t>Incomplete</t>
        </is>
      </c>
      <c r="C29" t="inlineStr">
        <is>
          <t>Bike</t>
        </is>
      </c>
      <c r="D29" t="n">
        <v>63.1</v>
      </c>
      <c r="E29" s="5" t="n">
        <v>796</v>
      </c>
      <c r="F29" t="n">
        <v>67</v>
      </c>
      <c r="G29" t="n">
        <v>5</v>
      </c>
      <c r="H29" s="1" t="n">
        <v>4</v>
      </c>
    </row>
    <row r="30">
      <c r="A30" t="inlineStr">
        <is>
          <t>CNR029</t>
        </is>
      </c>
      <c r="B30" t="inlineStr">
        <is>
          <t>Completed</t>
        </is>
      </c>
      <c r="C30" t="inlineStr">
        <is>
          <t>Auto</t>
        </is>
      </c>
      <c r="D30" t="n">
        <v>68.90000000000001</v>
      </c>
      <c r="E30" s="5" t="n">
        <v>655</v>
      </c>
      <c r="F30" t="n">
        <v>66</v>
      </c>
      <c r="G30" t="n">
        <v>1</v>
      </c>
      <c r="H30" s="1" t="n">
        <v>3</v>
      </c>
    </row>
    <row r="31">
      <c r="A31" t="inlineStr">
        <is>
          <t>CNR030</t>
        </is>
      </c>
      <c r="B31" t="inlineStr">
        <is>
          <t>Cancelled by Driver</t>
        </is>
      </c>
      <c r="C31" t="inlineStr">
        <is>
          <t>Go Mini</t>
        </is>
      </c>
      <c r="D31" t="n">
        <v>69.2</v>
      </c>
      <c r="E31" s="5" t="n">
        <v>895</v>
      </c>
      <c r="F31" t="n">
        <v>64</v>
      </c>
      <c r="G31" t="n">
        <v>3</v>
      </c>
      <c r="H31" s="1" t="n">
        <v>1</v>
      </c>
    </row>
    <row r="32">
      <c r="A32" t="inlineStr">
        <is>
          <t>CNR031</t>
        </is>
      </c>
      <c r="B32" t="inlineStr">
        <is>
          <t>Completed</t>
        </is>
      </c>
      <c r="C32" t="inlineStr">
        <is>
          <t>Go Mini</t>
        </is>
      </c>
      <c r="D32" t="n">
        <v>68.90000000000001</v>
      </c>
      <c r="E32" s="5" t="n">
        <v>597</v>
      </c>
      <c r="F32" t="n">
        <v>68</v>
      </c>
      <c r="G32" t="n">
        <v>3</v>
      </c>
      <c r="H32" s="1" t="n">
        <v>2</v>
      </c>
    </row>
    <row r="33">
      <c r="A33" t="inlineStr">
        <is>
          <t>CNR032</t>
        </is>
      </c>
      <c r="B33" t="inlineStr">
        <is>
          <t>Completed</t>
        </is>
      </c>
      <c r="C33" t="inlineStr">
        <is>
          <t>Premier Sedan</t>
        </is>
      </c>
      <c r="D33" t="n">
        <v>71.5</v>
      </c>
      <c r="E33" s="5" t="n">
        <v>538</v>
      </c>
      <c r="F33" t="n">
        <v>68</v>
      </c>
      <c r="G33" t="n">
        <v>3</v>
      </c>
      <c r="H33" s="1" t="n">
        <v>0</v>
      </c>
    </row>
    <row r="34">
      <c r="A34" t="inlineStr">
        <is>
          <t>CNR033</t>
        </is>
      </c>
      <c r="B34" t="inlineStr">
        <is>
          <t>Completed</t>
        </is>
      </c>
      <c r="C34" t="inlineStr">
        <is>
          <t>Auto</t>
        </is>
      </c>
      <c r="D34" t="n">
        <v>62</v>
      </c>
      <c r="E34" s="5" t="n">
        <v>724</v>
      </c>
      <c r="F34" t="n">
        <v>60</v>
      </c>
      <c r="G34" t="n">
        <v>5</v>
      </c>
      <c r="H34" s="1" t="n">
        <v>2</v>
      </c>
    </row>
    <row r="35">
      <c r="A35" t="inlineStr">
        <is>
          <t>CNR034</t>
        </is>
      </c>
      <c r="B35" t="inlineStr">
        <is>
          <t>Cancelled by Driver</t>
        </is>
      </c>
      <c r="C35" t="inlineStr">
        <is>
          <t>Go Sedan</t>
        </is>
      </c>
      <c r="D35" t="n">
        <v>65.40000000000001</v>
      </c>
      <c r="E35" s="5" t="n">
        <v>900</v>
      </c>
      <c r="F35" t="n">
        <v>70</v>
      </c>
      <c r="G35" t="n">
        <v>5</v>
      </c>
      <c r="H35" s="1" t="n">
        <v>3</v>
      </c>
    </row>
    <row r="36">
      <c r="A36" t="inlineStr">
        <is>
          <t>CNR035</t>
        </is>
      </c>
      <c r="B36" t="inlineStr">
        <is>
          <t>Completed</t>
        </is>
      </c>
      <c r="C36" t="inlineStr">
        <is>
          <t>Go Sedan</t>
        </is>
      </c>
      <c r="D36" t="n">
        <v>74.59999999999999</v>
      </c>
      <c r="E36" s="5" t="n">
        <v>470</v>
      </c>
      <c r="F36" t="n">
        <v>77.06999999999999</v>
      </c>
      <c r="G36" t="n">
        <v>3.7</v>
      </c>
      <c r="H36" t="n">
        <v>4.2</v>
      </c>
    </row>
    <row r="37">
      <c r="A37" t="inlineStr">
        <is>
          <t>CNR036</t>
        </is>
      </c>
      <c r="B37" t="inlineStr">
        <is>
          <t>Completed</t>
        </is>
      </c>
      <c r="C37" t="inlineStr">
        <is>
          <t>Auto</t>
        </is>
      </c>
      <c r="D37" t="n">
        <v>66.7</v>
      </c>
      <c r="E37" s="5" t="n">
        <v>187</v>
      </c>
      <c r="F37" t="n">
        <v>62.16</v>
      </c>
      <c r="G37" t="n">
        <v>4.9</v>
      </c>
      <c r="H37" t="n">
        <v>4.3</v>
      </c>
    </row>
    <row r="38">
      <c r="A38" t="inlineStr">
        <is>
          <t>CNR037</t>
        </is>
      </c>
      <c r="B38" t="inlineStr">
        <is>
          <t>Completed</t>
        </is>
      </c>
      <c r="C38" t="inlineStr">
        <is>
          <t>Premier Sedan</t>
        </is>
      </c>
      <c r="D38" t="n">
        <v>66.59999999999999</v>
      </c>
      <c r="E38" s="5" t="n">
        <v>186</v>
      </c>
      <c r="F38" t="n">
        <v>60.28</v>
      </c>
      <c r="G38" t="n">
        <v>4.4</v>
      </c>
      <c r="H38" t="n">
        <v>4.6</v>
      </c>
    </row>
    <row r="39">
      <c r="A39" t="inlineStr">
        <is>
          <t>CNR038</t>
        </is>
      </c>
      <c r="B39" t="inlineStr">
        <is>
          <t>Completed</t>
        </is>
      </c>
      <c r="C39" t="inlineStr">
        <is>
          <t>eBike</t>
        </is>
      </c>
      <c r="D39" t="n">
        <v>70</v>
      </c>
      <c r="E39" s="5" t="n">
        <v>70</v>
      </c>
      <c r="F39" t="n">
        <v>94.42</v>
      </c>
      <c r="G39" t="n">
        <v>4.1</v>
      </c>
      <c r="H39" t="n">
        <v>4.4</v>
      </c>
    </row>
    <row r="40">
      <c r="A40" t="inlineStr">
        <is>
          <t>CNR039</t>
        </is>
      </c>
      <c r="B40" t="inlineStr">
        <is>
          <t>Cancelled by Customer</t>
        </is>
      </c>
      <c r="C40" t="inlineStr">
        <is>
          <t>Bike</t>
        </is>
      </c>
      <c r="D40" t="n">
        <v>71</v>
      </c>
      <c r="E40" s="5" t="n">
        <v>751</v>
      </c>
      <c r="F40" t="n">
        <v>69</v>
      </c>
      <c r="G40" t="n">
        <v>5</v>
      </c>
      <c r="H40" s="1" t="n">
        <v>0</v>
      </c>
    </row>
    <row r="41">
      <c r="A41" t="inlineStr">
        <is>
          <t>CNR040</t>
        </is>
      </c>
      <c r="B41" t="inlineStr">
        <is>
          <t>Cancelled by Driver</t>
        </is>
      </c>
      <c r="C41" t="inlineStr">
        <is>
          <t>Auto</t>
        </is>
      </c>
      <c r="D41" t="n">
        <v>68</v>
      </c>
      <c r="E41" s="5" t="n">
        <v>956</v>
      </c>
      <c r="F41" t="n">
        <v>68</v>
      </c>
      <c r="G41" s="1" t="n">
        <v>1</v>
      </c>
      <c r="H41" s="1" t="n">
        <v>1</v>
      </c>
    </row>
    <row r="42">
      <c r="A42" t="inlineStr">
        <is>
          <t>CNR041</t>
        </is>
      </c>
      <c r="B42" t="inlineStr">
        <is>
          <t>Completed</t>
        </is>
      </c>
      <c r="C42" t="inlineStr">
        <is>
          <t>Auto</t>
        </is>
      </c>
      <c r="D42" t="n">
        <v>72.8</v>
      </c>
      <c r="E42" s="5" t="n">
        <v>636</v>
      </c>
      <c r="F42" t="n">
        <v>64</v>
      </c>
      <c r="G42" t="n">
        <v>3</v>
      </c>
      <c r="H42" s="1" t="n">
        <v>0</v>
      </c>
    </row>
    <row r="43">
      <c r="A43" t="inlineStr">
        <is>
          <t>CNR042</t>
        </is>
      </c>
      <c r="B43" t="inlineStr">
        <is>
          <t>Incomplete</t>
        </is>
      </c>
      <c r="C43" t="inlineStr">
        <is>
          <t>Premier Sedan</t>
        </is>
      </c>
      <c r="D43" t="n">
        <v>66.40000000000001</v>
      </c>
      <c r="E43" s="5" t="n">
        <v>922</v>
      </c>
      <c r="F43" t="n">
        <v>63</v>
      </c>
      <c r="G43" t="n">
        <v>5</v>
      </c>
      <c r="H43" s="1" t="n">
        <v>2</v>
      </c>
    </row>
    <row r="44">
      <c r="A44" t="inlineStr">
        <is>
          <t>CNR043</t>
        </is>
      </c>
      <c r="B44" t="inlineStr">
        <is>
          <t>Cancelled by Driver</t>
        </is>
      </c>
      <c r="C44" t="inlineStr">
        <is>
          <t>Auto</t>
        </is>
      </c>
      <c r="D44" t="n">
        <v>65.40000000000001</v>
      </c>
      <c r="E44" s="5" t="n">
        <v>561</v>
      </c>
      <c r="F44" t="n">
        <v>66</v>
      </c>
      <c r="G44" s="1" t="n">
        <v>2</v>
      </c>
      <c r="H44" s="1" t="n">
        <v>4</v>
      </c>
    </row>
    <row r="45">
      <c r="A45" t="inlineStr">
        <is>
          <t>CNR044</t>
        </is>
      </c>
      <c r="B45" t="inlineStr">
        <is>
          <t>Completed</t>
        </is>
      </c>
      <c r="C45" t="inlineStr">
        <is>
          <t>Go Sedan</t>
        </is>
      </c>
      <c r="D45" t="n">
        <v>72.2</v>
      </c>
      <c r="E45" s="5" t="n">
        <v>782</v>
      </c>
      <c r="F45" t="n">
        <v>66</v>
      </c>
      <c r="G45" s="1" t="n">
        <v>4</v>
      </c>
      <c r="H45" s="1" t="n">
        <v>0</v>
      </c>
    </row>
    <row r="46">
      <c r="A46" t="inlineStr">
        <is>
          <t>CNR045</t>
        </is>
      </c>
      <c r="B46" t="inlineStr">
        <is>
          <t>Cancelled by Driver</t>
        </is>
      </c>
      <c r="C46" t="inlineStr">
        <is>
          <t>Go Mini</t>
        </is>
      </c>
      <c r="D46" t="n">
        <v>66.59999999999999</v>
      </c>
      <c r="E46" s="5" t="n">
        <v>827</v>
      </c>
      <c r="F46" t="n">
        <v>68</v>
      </c>
      <c r="G46" s="1" t="n">
        <v>2</v>
      </c>
      <c r="H46" s="1" t="n">
        <v>4</v>
      </c>
    </row>
    <row r="47">
      <c r="A47" t="inlineStr">
        <is>
          <t>CNR046</t>
        </is>
      </c>
      <c r="B47" t="inlineStr">
        <is>
          <t>Cancelled by Customer</t>
        </is>
      </c>
      <c r="C47" t="inlineStr">
        <is>
          <t>Auto</t>
        </is>
      </c>
      <c r="D47" t="n">
        <v>71.3</v>
      </c>
      <c r="E47" s="5" t="n">
        <v>507</v>
      </c>
      <c r="F47" t="n">
        <v>62</v>
      </c>
      <c r="G47" s="1" t="n">
        <v>1</v>
      </c>
      <c r="H47" s="1" t="n">
        <v>0</v>
      </c>
    </row>
    <row r="48">
      <c r="A48" t="inlineStr">
        <is>
          <t>CNR047</t>
        </is>
      </c>
      <c r="B48" t="inlineStr">
        <is>
          <t>Incomplete</t>
        </is>
      </c>
      <c r="C48" t="inlineStr">
        <is>
          <t>Bike</t>
        </is>
      </c>
      <c r="D48" t="n">
        <v>62.3</v>
      </c>
      <c r="E48" s="5" t="n">
        <v>970</v>
      </c>
      <c r="F48" t="n">
        <v>68</v>
      </c>
      <c r="G48" s="1" t="n">
        <v>1</v>
      </c>
      <c r="H48" s="1" t="n">
        <v>4</v>
      </c>
    </row>
    <row r="49">
      <c r="A49" t="inlineStr">
        <is>
          <t>CNR048</t>
        </is>
      </c>
      <c r="B49" t="inlineStr">
        <is>
          <t>Completed</t>
        </is>
      </c>
      <c r="C49" t="inlineStr">
        <is>
          <t>Go Sedan</t>
        </is>
      </c>
      <c r="D49" t="n">
        <v>67.8</v>
      </c>
      <c r="E49" s="5" t="n">
        <v>514</v>
      </c>
      <c r="F49" t="n">
        <v>58.13</v>
      </c>
      <c r="G49" s="1" t="n">
        <v>5</v>
      </c>
      <c r="H49" t="n">
        <v>4.5</v>
      </c>
    </row>
    <row r="50">
      <c r="A50" t="inlineStr">
        <is>
          <t>CNR049</t>
        </is>
      </c>
      <c r="B50" t="inlineStr">
        <is>
          <t>Completed</t>
        </is>
      </c>
      <c r="C50" t="inlineStr">
        <is>
          <t>Auto</t>
        </is>
      </c>
      <c r="D50" t="n">
        <v>68.8</v>
      </c>
      <c r="E50" s="5" t="n">
        <v>237</v>
      </c>
      <c r="F50" t="n">
        <v>52.96</v>
      </c>
      <c r="G50" s="1" t="n">
        <v>5</v>
      </c>
      <c r="H50" t="n">
        <v>3.3</v>
      </c>
    </row>
    <row r="51">
      <c r="G51" s="1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G31"/>
  <sheetViews>
    <sheetView workbookViewId="0">
      <selection activeCell="H23" sqref="H23"/>
    </sheetView>
  </sheetViews>
  <sheetFormatPr baseColWidth="8" defaultRowHeight="15"/>
  <cols>
    <col width="15.5703125" bestFit="1" customWidth="1" min="1" max="2"/>
    <col width="10.140625" bestFit="1" customWidth="1" min="3" max="3"/>
    <col width="16.28515625" bestFit="1" customWidth="1" min="4" max="5"/>
    <col width="14.42578125" bestFit="1" customWidth="1" min="6" max="6"/>
    <col width="15.28515625" bestFit="1" customWidth="1" min="7" max="7"/>
  </cols>
  <sheetData>
    <row r="1">
      <c r="A1" t="inlineStr">
        <is>
          <t>START_DATE</t>
        </is>
      </c>
      <c r="B1" t="inlineStr">
        <is>
          <t>END_DATE</t>
        </is>
      </c>
      <c r="C1" t="inlineStr">
        <is>
          <t>CATEGORY</t>
        </is>
      </c>
      <c r="D1" t="inlineStr">
        <is>
          <t>START</t>
        </is>
      </c>
      <c r="E1" t="inlineStr">
        <is>
          <t>STOP</t>
        </is>
      </c>
      <c r="F1" t="inlineStr">
        <is>
          <t>Distance (KMS)</t>
        </is>
      </c>
      <c r="G1" t="inlineStr">
        <is>
          <t>PURPOSE</t>
        </is>
      </c>
    </row>
    <row r="2">
      <c r="A2" s="2" t="inlineStr">
        <is>
          <t>01-06-2016 14:42</t>
        </is>
      </c>
      <c r="B2" s="2" t="inlineStr">
        <is>
          <t>01-06-2016 15:49</t>
        </is>
      </c>
      <c r="C2" t="inlineStr">
        <is>
          <t>Business</t>
        </is>
      </c>
      <c r="D2" t="inlineStr">
        <is>
          <t>Fort Pierce</t>
        </is>
      </c>
      <c r="E2" t="inlineStr">
        <is>
          <t>West Palm Beach</t>
        </is>
      </c>
      <c r="F2" t="n">
        <v>63.7</v>
      </c>
      <c r="G2" t="inlineStr">
        <is>
          <t>Customer Visit</t>
        </is>
      </c>
    </row>
    <row r="3">
      <c r="A3" s="2" t="inlineStr">
        <is>
          <t>1/14/2016 16:29</t>
        </is>
      </c>
      <c r="B3" s="2" t="inlineStr">
        <is>
          <t>1/14/2016 17:05</t>
        </is>
      </c>
      <c r="C3" t="inlineStr">
        <is>
          <t>Business</t>
        </is>
      </c>
      <c r="D3" t="inlineStr">
        <is>
          <t>Houston</t>
        </is>
      </c>
      <c r="E3" t="inlineStr">
        <is>
          <t>Houston</t>
        </is>
      </c>
      <c r="F3" t="n">
        <v>21.9</v>
      </c>
      <c r="G3" t="inlineStr">
        <is>
          <t>Customer Visit</t>
        </is>
      </c>
    </row>
    <row r="4">
      <c r="A4" s="2" t="inlineStr">
        <is>
          <t>01-10-2016 12:17</t>
        </is>
      </c>
      <c r="B4" s="2" t="inlineStr">
        <is>
          <t>01-10-2016 12:44</t>
        </is>
      </c>
      <c r="C4" t="inlineStr">
        <is>
          <t>Business</t>
        </is>
      </c>
      <c r="D4" t="inlineStr">
        <is>
          <t>Jamaica</t>
        </is>
      </c>
      <c r="E4" t="inlineStr">
        <is>
          <t>New York</t>
        </is>
      </c>
      <c r="F4" t="n">
        <v>16.5</v>
      </c>
      <c r="G4" t="inlineStr">
        <is>
          <t>Customer Visit</t>
        </is>
      </c>
    </row>
    <row r="5">
      <c r="A5" s="2" t="inlineStr">
        <is>
          <t>01-12-2016 15:13</t>
        </is>
      </c>
      <c r="B5" s="2" t="inlineStr">
        <is>
          <t>01-12-2016 15:28</t>
        </is>
      </c>
      <c r="C5" t="inlineStr">
        <is>
          <t>Business</t>
        </is>
      </c>
      <c r="D5" t="inlineStr">
        <is>
          <t>Hudson Square</t>
        </is>
      </c>
      <c r="E5" t="inlineStr">
        <is>
          <t>Hell's Kitchen</t>
        </is>
      </c>
      <c r="F5" t="n">
        <v>2.4</v>
      </c>
      <c r="G5" t="inlineStr">
        <is>
          <t>Customer Visit</t>
        </is>
      </c>
    </row>
    <row r="6">
      <c r="A6" s="2" t="inlineStr">
        <is>
          <t>1/15/2016 0:41</t>
        </is>
      </c>
      <c r="B6" s="2" t="inlineStr">
        <is>
          <t>1/15/2016 1:01</t>
        </is>
      </c>
      <c r="C6" t="inlineStr">
        <is>
          <t>Business</t>
        </is>
      </c>
      <c r="D6" t="inlineStr">
        <is>
          <t>Morrisville</t>
        </is>
      </c>
      <c r="E6" t="inlineStr">
        <is>
          <t>Cary</t>
        </is>
      </c>
      <c r="F6" t="n">
        <v>8</v>
      </c>
      <c r="G6" t="inlineStr">
        <is>
          <t>Errand/Supplies</t>
        </is>
      </c>
    </row>
    <row r="7">
      <c r="A7" s="2" t="inlineStr">
        <is>
          <t>01-02-2016 20:25</t>
        </is>
      </c>
      <c r="B7" s="2" t="inlineStr">
        <is>
          <t>01-02-2016 20:38</t>
        </is>
      </c>
      <c r="C7" t="inlineStr">
        <is>
          <t>Business</t>
        </is>
      </c>
      <c r="D7" t="inlineStr">
        <is>
          <t>Fort Pierce</t>
        </is>
      </c>
      <c r="E7" t="inlineStr">
        <is>
          <t>Fort Pierce</t>
        </is>
      </c>
      <c r="F7" t="n">
        <v>4.8</v>
      </c>
      <c r="G7" t="inlineStr">
        <is>
          <t>Errand/Supplies</t>
        </is>
      </c>
    </row>
    <row r="8">
      <c r="A8" s="2" t="inlineStr">
        <is>
          <t>1/14/2016 21:39</t>
        </is>
      </c>
      <c r="B8" s="2" t="inlineStr">
        <is>
          <t>1/14/2016 21:45</t>
        </is>
      </c>
      <c r="C8" t="inlineStr">
        <is>
          <t>Business</t>
        </is>
      </c>
      <c r="D8" t="inlineStr">
        <is>
          <t>Eagan Park</t>
        </is>
      </c>
      <c r="E8" t="inlineStr">
        <is>
          <t>Jamestown Court</t>
        </is>
      </c>
      <c r="F8" t="n">
        <v>3.9</v>
      </c>
      <c r="G8" t="inlineStr">
        <is>
          <t>Errand/Supplies</t>
        </is>
      </c>
    </row>
    <row r="9">
      <c r="A9" s="2" t="inlineStr">
        <is>
          <t>01-12-2016 15:42</t>
        </is>
      </c>
      <c r="B9" s="2" t="inlineStr">
        <is>
          <t>01-12-2016 15:54</t>
        </is>
      </c>
      <c r="C9" t="inlineStr">
        <is>
          <t>Business</t>
        </is>
      </c>
      <c r="D9" t="inlineStr">
        <is>
          <t>Hell's Kitchen</t>
        </is>
      </c>
      <c r="E9" t="inlineStr">
        <is>
          <t>Midtown</t>
        </is>
      </c>
      <c r="F9" t="n">
        <v>2</v>
      </c>
      <c r="G9" t="inlineStr">
        <is>
          <t>Errand/Supplies</t>
        </is>
      </c>
    </row>
    <row r="10">
      <c r="A10" s="2" t="inlineStr">
        <is>
          <t>01-12-2016 14:42</t>
        </is>
      </c>
      <c r="B10" s="2" t="inlineStr">
        <is>
          <t>01-12-2016 14:56</t>
        </is>
      </c>
      <c r="C10" t="inlineStr">
        <is>
          <t>Business</t>
        </is>
      </c>
      <c r="D10" t="inlineStr">
        <is>
          <t>Lower Manhattan</t>
        </is>
      </c>
      <c r="E10" t="inlineStr">
        <is>
          <t>Hudson Square</t>
        </is>
      </c>
      <c r="F10" t="n">
        <v>1.8</v>
      </c>
      <c r="G10" t="inlineStr">
        <is>
          <t>Errand/Supplies</t>
        </is>
      </c>
    </row>
    <row r="11">
      <c r="A11" s="2" t="inlineStr">
        <is>
          <t>01-11-2016 11:56</t>
        </is>
      </c>
      <c r="B11" s="2" t="inlineStr">
        <is>
          <t>01-11-2016 12:03</t>
        </is>
      </c>
      <c r="C11" t="inlineStr">
        <is>
          <t>Business</t>
        </is>
      </c>
      <c r="D11" t="inlineStr">
        <is>
          <t>Flatiron District</t>
        </is>
      </c>
      <c r="E11" t="inlineStr">
        <is>
          <t>Midtown</t>
        </is>
      </c>
      <c r="F11" t="n">
        <v>1.6</v>
      </c>
      <c r="G11" t="inlineStr">
        <is>
          <t>Errand/Supplies</t>
        </is>
      </c>
    </row>
    <row r="12">
      <c r="A12" s="2" t="inlineStr">
        <is>
          <t>1/15/2016 11:43</t>
        </is>
      </c>
      <c r="B12" s="2" t="inlineStr">
        <is>
          <t>1/15/2016 12:03</t>
        </is>
      </c>
      <c r="C12" t="inlineStr">
        <is>
          <t>Business</t>
        </is>
      </c>
      <c r="D12" t="inlineStr">
        <is>
          <t>Cary</t>
        </is>
      </c>
      <c r="E12" t="inlineStr">
        <is>
          <t>Durham</t>
        </is>
      </c>
      <c r="F12" t="n">
        <v>10.4</v>
      </c>
      <c r="G12" t="inlineStr">
        <is>
          <t>Meal/Entertain</t>
        </is>
      </c>
    </row>
    <row r="13">
      <c r="A13" s="2" t="inlineStr">
        <is>
          <t>1/15/2016 13:26</t>
        </is>
      </c>
      <c r="B13" s="2" t="inlineStr">
        <is>
          <t>1/15/2016 13:44</t>
        </is>
      </c>
      <c r="C13" t="inlineStr">
        <is>
          <t>Business</t>
        </is>
      </c>
      <c r="D13" t="inlineStr">
        <is>
          <t>Durham</t>
        </is>
      </c>
      <c r="E13" t="inlineStr">
        <is>
          <t>Cary</t>
        </is>
      </c>
      <c r="F13" t="n">
        <v>10.4</v>
      </c>
      <c r="G13" t="inlineStr">
        <is>
          <t>Meal/Entertain</t>
        </is>
      </c>
    </row>
    <row r="14">
      <c r="A14" s="2" t="inlineStr">
        <is>
          <t>01-01-2016 21:11</t>
        </is>
      </c>
      <c r="B14" s="2" t="inlineStr">
        <is>
          <t>01-01-2016 21:17</t>
        </is>
      </c>
      <c r="C14" t="inlineStr">
        <is>
          <t>Business</t>
        </is>
      </c>
      <c r="D14" t="inlineStr">
        <is>
          <t>Fort Pierce</t>
        </is>
      </c>
      <c r="E14" t="inlineStr">
        <is>
          <t>Fort Pierce</t>
        </is>
      </c>
      <c r="F14" t="n">
        <v>5.1</v>
      </c>
      <c r="G14" t="inlineStr">
        <is>
          <t>Meal/Entertain</t>
        </is>
      </c>
    </row>
    <row r="15">
      <c r="A15" s="2" t="inlineStr">
        <is>
          <t>01-06-2016 17:15</t>
        </is>
      </c>
      <c r="B15" s="2" t="inlineStr">
        <is>
          <t>01-06-2016 17:19</t>
        </is>
      </c>
      <c r="C15" t="inlineStr">
        <is>
          <t>Business</t>
        </is>
      </c>
      <c r="D15" t="inlineStr">
        <is>
          <t>West Palm Beach</t>
        </is>
      </c>
      <c r="E15" t="inlineStr">
        <is>
          <t>West Palm Beach</t>
        </is>
      </c>
      <c r="F15" t="n">
        <v>4.3</v>
      </c>
      <c r="G15" t="inlineStr">
        <is>
          <t>Meal/Entertain</t>
        </is>
      </c>
    </row>
    <row r="16">
      <c r="A16" s="2" t="inlineStr">
        <is>
          <t>01-12-2016 12:53</t>
        </is>
      </c>
      <c r="B16" s="2" t="inlineStr">
        <is>
          <t>01-12-2016 13:09</t>
        </is>
      </c>
      <c r="C16" t="inlineStr">
        <is>
          <t>Business</t>
        </is>
      </c>
      <c r="D16" t="inlineStr">
        <is>
          <t>Hudson Square</t>
        </is>
      </c>
      <c r="E16" t="inlineStr">
        <is>
          <t>Lower Manhattan</t>
        </is>
      </c>
      <c r="F16" t="n">
        <v>4</v>
      </c>
      <c r="G16" t="inlineStr">
        <is>
          <t>Meal/Entertain</t>
        </is>
      </c>
    </row>
    <row r="17">
      <c r="A17" s="2" t="inlineStr">
        <is>
          <t>01-11-2016 14:30</t>
        </is>
      </c>
      <c r="B17" s="2" t="inlineStr">
        <is>
          <t>01-11-2016 14:43</t>
        </is>
      </c>
      <c r="C17" t="inlineStr">
        <is>
          <t>Business</t>
        </is>
      </c>
      <c r="D17" t="inlineStr">
        <is>
          <t>Midtown East</t>
        </is>
      </c>
      <c r="E17" t="inlineStr">
        <is>
          <t>Midtown</t>
        </is>
      </c>
      <c r="F17" t="n">
        <v>1.9</v>
      </c>
      <c r="G17" t="inlineStr">
        <is>
          <t>Meal/Entertain</t>
        </is>
      </c>
    </row>
    <row r="18">
      <c r="A18" s="2" t="inlineStr">
        <is>
          <t>01-12-2016 12:33</t>
        </is>
      </c>
      <c r="B18" s="2" t="inlineStr">
        <is>
          <t>01-12-2016 12:49</t>
        </is>
      </c>
      <c r="C18" t="inlineStr">
        <is>
          <t>Business</t>
        </is>
      </c>
      <c r="D18" t="inlineStr">
        <is>
          <t>Midtown</t>
        </is>
      </c>
      <c r="E18" t="inlineStr">
        <is>
          <t>Hudson Square</t>
        </is>
      </c>
      <c r="F18" t="n">
        <v>1.9</v>
      </c>
      <c r="G18" t="inlineStr">
        <is>
          <t>Meal/Entertain</t>
        </is>
      </c>
    </row>
    <row r="19">
      <c r="A19" s="2" t="inlineStr">
        <is>
          <t>01-11-2016 13:32</t>
        </is>
      </c>
      <c r="B19" s="2" t="inlineStr">
        <is>
          <t>01-11-2016 13:46</t>
        </is>
      </c>
      <c r="C19" t="inlineStr">
        <is>
          <t>Business</t>
        </is>
      </c>
      <c r="D19" t="inlineStr">
        <is>
          <t>Midtown</t>
        </is>
      </c>
      <c r="E19" t="inlineStr">
        <is>
          <t>Midtown East</t>
        </is>
      </c>
      <c r="F19" t="n">
        <v>1.7</v>
      </c>
      <c r="G19" t="inlineStr">
        <is>
          <t>Meal/Entertain</t>
        </is>
      </c>
    </row>
    <row r="20">
      <c r="A20" s="2" t="inlineStr">
        <is>
          <t>01-12-2016 16:02</t>
        </is>
      </c>
      <c r="B20" s="2" t="inlineStr">
        <is>
          <t>01-12-2016 17:00</t>
        </is>
      </c>
      <c r="C20" t="inlineStr">
        <is>
          <t>Business</t>
        </is>
      </c>
      <c r="D20" t="inlineStr">
        <is>
          <t>New York</t>
        </is>
      </c>
      <c r="E20" t="inlineStr">
        <is>
          <t>Queens County</t>
        </is>
      </c>
      <c r="F20" t="n">
        <v>15.1</v>
      </c>
      <c r="G20" t="inlineStr">
        <is>
          <t>Meeting</t>
        </is>
      </c>
    </row>
    <row r="21">
      <c r="A21" s="2" t="inlineStr">
        <is>
          <t>1/13/2016 15:00</t>
        </is>
      </c>
      <c r="B21" s="2" t="inlineStr">
        <is>
          <t>1/13/2016 15:28</t>
        </is>
      </c>
      <c r="C21" t="inlineStr">
        <is>
          <t>Business</t>
        </is>
      </c>
      <c r="D21" t="inlineStr">
        <is>
          <t>Gulfton</t>
        </is>
      </c>
      <c r="E21" t="inlineStr">
        <is>
          <t>Downtown</t>
        </is>
      </c>
      <c r="F21" t="n">
        <v>11.8</v>
      </c>
      <c r="G21" t="inlineStr">
        <is>
          <t>Meeting</t>
        </is>
      </c>
    </row>
    <row r="22">
      <c r="A22" s="2" t="inlineStr">
        <is>
          <t>1/13/2016 13:54</t>
        </is>
      </c>
      <c r="B22" s="2" t="inlineStr">
        <is>
          <t>1/13/2016 14:07</t>
        </is>
      </c>
      <c r="C22" t="inlineStr">
        <is>
          <t>Business</t>
        </is>
      </c>
      <c r="D22" t="inlineStr">
        <is>
          <t>Downtown</t>
        </is>
      </c>
      <c r="E22" t="inlineStr">
        <is>
          <t>Gulfton</t>
        </is>
      </c>
      <c r="F22" t="n">
        <v>11.2</v>
      </c>
      <c r="G22" t="inlineStr">
        <is>
          <t>Meeting</t>
        </is>
      </c>
    </row>
    <row r="23">
      <c r="A23" s="2" t="inlineStr">
        <is>
          <t>01-10-2016 15:08</t>
        </is>
      </c>
      <c r="B23" s="2" t="inlineStr">
        <is>
          <t>01-10-2016 15:51</t>
        </is>
      </c>
      <c r="C23" t="inlineStr">
        <is>
          <t>Business</t>
        </is>
      </c>
      <c r="D23" t="inlineStr">
        <is>
          <t>New York</t>
        </is>
      </c>
      <c r="E23" t="inlineStr">
        <is>
          <t>Queens</t>
        </is>
      </c>
      <c r="F23" t="n">
        <v>10.8</v>
      </c>
      <c r="G23" t="inlineStr">
        <is>
          <t>Meeting</t>
        </is>
      </c>
    </row>
    <row r="24">
      <c r="A24" s="2" t="inlineStr">
        <is>
          <t>01-10-2016 08:05</t>
        </is>
      </c>
      <c r="B24" s="2" t="inlineStr">
        <is>
          <t>01-10-2016 08:25</t>
        </is>
      </c>
      <c r="C24" t="inlineStr">
        <is>
          <t>Business</t>
        </is>
      </c>
      <c r="D24" t="inlineStr">
        <is>
          <t>Cary</t>
        </is>
      </c>
      <c r="E24" t="inlineStr">
        <is>
          <t>Morrisville</t>
        </is>
      </c>
      <c r="F24" t="n">
        <v>8.300000000000001</v>
      </c>
      <c r="G24" t="inlineStr">
        <is>
          <t>Meeting</t>
        </is>
      </c>
    </row>
    <row r="25">
      <c r="A25" s="2" t="inlineStr">
        <is>
          <t>01-10-2016 18:18</t>
        </is>
      </c>
      <c r="B25" s="2" t="inlineStr">
        <is>
          <t>01-10-2016 18:53</t>
        </is>
      </c>
      <c r="C25" t="inlineStr">
        <is>
          <t>Business</t>
        </is>
      </c>
      <c r="D25" t="inlineStr">
        <is>
          <t>Elmhurst</t>
        </is>
      </c>
      <c r="E25" t="inlineStr">
        <is>
          <t>New York</t>
        </is>
      </c>
      <c r="F25" t="n">
        <v>7.5</v>
      </c>
      <c r="G25" t="inlineStr">
        <is>
          <t>Meeting</t>
        </is>
      </c>
    </row>
    <row r="26">
      <c r="A26" s="2" t="inlineStr">
        <is>
          <t>01-06-2016 17:30</t>
        </is>
      </c>
      <c r="B26" s="2" t="inlineStr">
        <is>
          <t>01-06-2016 17:35</t>
        </is>
      </c>
      <c r="C26" t="inlineStr">
        <is>
          <t>Business</t>
        </is>
      </c>
      <c r="D26" t="inlineStr">
        <is>
          <t>West Palm Beach</t>
        </is>
      </c>
      <c r="E26" t="inlineStr">
        <is>
          <t>Palm Beach</t>
        </is>
      </c>
      <c r="F26" t="n">
        <v>7.1</v>
      </c>
      <c r="G26" t="inlineStr">
        <is>
          <t>Meeting</t>
        </is>
      </c>
    </row>
    <row r="27">
      <c r="A27" s="2" t="inlineStr">
        <is>
          <t>01-10-2016 19:12</t>
        </is>
      </c>
      <c r="B27" s="2" t="inlineStr">
        <is>
          <t>01-10-2016 19:32</t>
        </is>
      </c>
      <c r="C27" t="inlineStr">
        <is>
          <t>Business</t>
        </is>
      </c>
      <c r="D27" t="inlineStr">
        <is>
          <t>Midtown</t>
        </is>
      </c>
      <c r="E27" t="inlineStr">
        <is>
          <t>East Harlem</t>
        </is>
      </c>
      <c r="F27" t="n">
        <v>6.2</v>
      </c>
      <c r="G27" t="inlineStr">
        <is>
          <t>Meeting</t>
        </is>
      </c>
    </row>
    <row r="28">
      <c r="A28" s="2" t="inlineStr">
        <is>
          <t>01-05-2016 17:31</t>
        </is>
      </c>
      <c r="B28" s="2" t="inlineStr">
        <is>
          <t>01-05-2016 17:45</t>
        </is>
      </c>
      <c r="C28" t="inlineStr">
        <is>
          <t>Business</t>
        </is>
      </c>
      <c r="D28" t="inlineStr">
        <is>
          <t>Fort Pierce</t>
        </is>
      </c>
      <c r="E28" t="inlineStr">
        <is>
          <t>Fort Pierce</t>
        </is>
      </c>
      <c r="F28" t="n">
        <v>4.7</v>
      </c>
      <c r="G28" t="inlineStr">
        <is>
          <t>Meeting</t>
        </is>
      </c>
    </row>
    <row r="29">
      <c r="A29" s="2" t="inlineStr">
        <is>
          <t>01-07-2016 13:27</t>
        </is>
      </c>
      <c r="B29" s="2" t="inlineStr">
        <is>
          <t>01-07-2016 13:33</t>
        </is>
      </c>
      <c r="C29" t="inlineStr">
        <is>
          <t>Business</t>
        </is>
      </c>
      <c r="D29" t="inlineStr">
        <is>
          <t>Cary</t>
        </is>
      </c>
      <c r="E29" t="inlineStr">
        <is>
          <t>Cary</t>
        </is>
      </c>
      <c r="F29" t="n">
        <v>0.8</v>
      </c>
      <c r="G29" t="inlineStr">
        <is>
          <t>Meeting</t>
        </is>
      </c>
    </row>
    <row r="30">
      <c r="A30" s="2" t="inlineStr">
        <is>
          <t>01-11-2016 08:55</t>
        </is>
      </c>
      <c r="B30" s="2" t="inlineStr">
        <is>
          <t>01-11-2016 09:21</t>
        </is>
      </c>
      <c r="C30" t="inlineStr">
        <is>
          <t>Business</t>
        </is>
      </c>
      <c r="D30" t="inlineStr">
        <is>
          <t>East Harlem</t>
        </is>
      </c>
      <c r="E30" t="inlineStr">
        <is>
          <t>NoMad</t>
        </is>
      </c>
      <c r="F30" t="n">
        <v>6.4</v>
      </c>
      <c r="G30" t="inlineStr">
        <is>
          <t>Temporary Site</t>
        </is>
      </c>
    </row>
    <row r="31">
      <c r="A31" s="2" t="inlineStr">
        <is>
          <t>01-02-2016 01:25</t>
        </is>
      </c>
      <c r="B31" s="2" t="inlineStr">
        <is>
          <t>01-02-2016 01:37</t>
        </is>
      </c>
      <c r="C31" t="inlineStr">
        <is>
          <t>Business</t>
        </is>
      </c>
      <c r="D31" t="inlineStr">
        <is>
          <t>Fort Pierce</t>
        </is>
      </c>
      <c r="E31" t="inlineStr">
        <is>
          <t>Fort Pierce</t>
        </is>
      </c>
      <c r="F31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2026-02-24T16:53:08Z</dcterms:created>
  <dcterms:modified xmlns:dcterms="http://purl.org/dc/terms/" xmlns:xsi="http://www.w3.org/2001/XMLSchema-instance" xsi:type="dcterms:W3CDTF">2026-06-07T14:37:52Z</dcterms:modified>
  <cp:lastModifiedBy>Fredriech Pretorius</cp:lastModifiedBy>
</cp:coreProperties>
</file>